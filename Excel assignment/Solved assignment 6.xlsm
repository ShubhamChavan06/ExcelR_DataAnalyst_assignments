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771\Desktop\"/>
    </mc:Choice>
  </mc:AlternateContent>
  <xr:revisionPtr revIDLastSave="0" documentId="13_ncr:1_{3BD56B0A-E3F8-4369-AFCF-B51A18673ED8}" xr6:coauthVersionLast="47" xr6:coauthVersionMax="47" xr10:uidLastSave="{00000000-0000-0000-0000-000000000000}"/>
  <bookViews>
    <workbookView xWindow="-108" yWindow="-108" windowWidth="23256" windowHeight="13176" activeTab="4" xr2:uid="{00000000-000D-0000-FFFF-FFFF00000000}"/>
  </bookViews>
  <sheets>
    <sheet name="1" sheetId="1" r:id="rId1"/>
    <sheet name="Formatting" sheetId="3" r:id="rId2"/>
    <sheet name="Sheet1" sheetId="2" r:id="rId3"/>
    <sheet name="Form" sheetId="4" r:id="rId4"/>
    <sheet name="Database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2" i="3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2" i="2"/>
  <c r="J9" i="1"/>
  <c r="H9" i="1"/>
</calcChain>
</file>

<file path=xl/sharedStrings.xml><?xml version="1.0" encoding="utf-8"?>
<sst xmlns="http://schemas.openxmlformats.org/spreadsheetml/2006/main" count="178" uniqueCount="43">
  <si>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</si>
  <si>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</si>
  <si>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</si>
  <si>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</si>
  <si>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</si>
  <si>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</si>
  <si>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</si>
  <si>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</si>
  <si>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</si>
  <si>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</si>
  <si>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</si>
  <si>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</si>
  <si>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</si>
  <si>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</si>
  <si>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</si>
  <si>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</si>
  <si>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</si>
  <si>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</si>
  <si>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</si>
  <si>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Data Entry Form</t>
  </si>
  <si>
    <t>Name</t>
  </si>
  <si>
    <t>Gender</t>
  </si>
  <si>
    <t>Qualification</t>
  </si>
  <si>
    <t>City</t>
  </si>
  <si>
    <t>State</t>
  </si>
  <si>
    <t>Country</t>
  </si>
  <si>
    <t xml:space="preserve">State </t>
  </si>
  <si>
    <t>10th</t>
  </si>
  <si>
    <t>10+2</t>
  </si>
  <si>
    <t>BSc</t>
  </si>
  <si>
    <t>Bcom</t>
  </si>
  <si>
    <t>BE</t>
  </si>
  <si>
    <t>ME</t>
  </si>
  <si>
    <t>Shubham Chavan</t>
  </si>
  <si>
    <t>Mumbai</t>
  </si>
  <si>
    <t>Maharashtra</t>
  </si>
  <si>
    <t>India</t>
  </si>
  <si>
    <t>Male</t>
  </si>
  <si>
    <t>Nutan Lokhande</t>
  </si>
  <si>
    <t>Navi Mumbai</t>
  </si>
  <si>
    <t>Female</t>
  </si>
  <si>
    <t>Sakshi Sangale</t>
  </si>
  <si>
    <t>Urmilla Vanjare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</si>
</sst>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M&quot;"/>
    <numFmt numFmtId="165" formatCode="0.00;[Red]0.00"/>
  </numFmts>
  <fonts count="1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4"/>
      <color theme="1"/>
      <name val="Aharoni"/>
      <charset val="177"/>
    </font>
    <font>
      <sz val="11"/>
      <color theme="1"/>
      <name val="Aharoni"/>
      <charset val="177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9" fontId="0" fillId="0" borderId="1" xfId="0" applyNumberFormat="1" applyBorder="1"/>
    <xf numFmtId="9" fontId="0" fillId="0" borderId="1" xfId="1" applyFont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9" xfId="0" applyFill="1" applyBorder="1"/>
    <xf numFmtId="0" fontId="0" fillId="2" borderId="8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4" fillId="3" borderId="1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5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A$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251460</xdr:colOff>
          <xdr:row>6</xdr:row>
          <xdr:rowOff>114300</xdr:rowOff>
        </xdr:from>
        <xdr:to>
          <xdr:col>11</xdr:col>
          <xdr:colOff>594360</xdr:colOff>
          <xdr:row>8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358140</xdr:colOff>
          <xdr:row>3</xdr:row>
          <xdr:rowOff>99060</xdr:rowOff>
        </xdr:from>
        <xdr:to>
          <xdr:col>12</xdr:col>
          <xdr:colOff>594360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6</xdr:row>
          <xdr:rowOff>7620</xdr:rowOff>
        </xdr:from>
        <xdr:to>
          <xdr:col>8</xdr:col>
          <xdr:colOff>594360</xdr:colOff>
          <xdr:row>7</xdr:row>
          <xdr:rowOff>83820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11</xdr:row>
          <xdr:rowOff>167640</xdr:rowOff>
        </xdr:from>
        <xdr:to>
          <xdr:col>8</xdr:col>
          <xdr:colOff>419100</xdr:colOff>
          <xdr:row>13</xdr:row>
          <xdr:rowOff>30480</xdr:rowOff>
        </xdr:to>
        <xdr:sp macro="" textlink="">
          <xdr:nvSpPr>
            <xdr:cNvPr id="4098" name="TextBox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13</xdr:row>
          <xdr:rowOff>160020</xdr:rowOff>
        </xdr:from>
        <xdr:to>
          <xdr:col>8</xdr:col>
          <xdr:colOff>411480</xdr:colOff>
          <xdr:row>15</xdr:row>
          <xdr:rowOff>7620</xdr:rowOff>
        </xdr:to>
        <xdr:sp macro="" textlink="">
          <xdr:nvSpPr>
            <xdr:cNvPr id="4099" name="TextBox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16</xdr:row>
          <xdr:rowOff>0</xdr:rowOff>
        </xdr:from>
        <xdr:to>
          <xdr:col>8</xdr:col>
          <xdr:colOff>426720</xdr:colOff>
          <xdr:row>17</xdr:row>
          <xdr:rowOff>38100</xdr:rowOff>
        </xdr:to>
        <xdr:sp macro="" textlink="">
          <xdr:nvSpPr>
            <xdr:cNvPr id="4100" name="TextBox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9</xdr:row>
          <xdr:rowOff>160020</xdr:rowOff>
        </xdr:from>
        <xdr:to>
          <xdr:col>8</xdr:col>
          <xdr:colOff>441960</xdr:colOff>
          <xdr:row>10</xdr:row>
          <xdr:rowOff>190500</xdr:rowOff>
        </xdr:to>
        <xdr:sp macro="" textlink="">
          <xdr:nvSpPr>
            <xdr:cNvPr id="4101" name="ComboBox1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8</xdr:row>
          <xdr:rowOff>7620</xdr:rowOff>
        </xdr:from>
        <xdr:to>
          <xdr:col>5</xdr:col>
          <xdr:colOff>449580</xdr:colOff>
          <xdr:row>9</xdr:row>
          <xdr:rowOff>30480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144780</xdr:colOff>
          <xdr:row>8</xdr:row>
          <xdr:rowOff>7620</xdr:rowOff>
        </xdr:from>
        <xdr:to>
          <xdr:col>7</xdr:col>
          <xdr:colOff>579120</xdr:colOff>
          <xdr:row>9</xdr:row>
          <xdr:rowOff>30480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18</xdr:row>
          <xdr:rowOff>129540</xdr:rowOff>
        </xdr:from>
        <xdr:to>
          <xdr:col>5</xdr:col>
          <xdr:colOff>563880</xdr:colOff>
          <xdr:row>20</xdr:row>
          <xdr:rowOff>106680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18</xdr:row>
          <xdr:rowOff>129540</xdr:rowOff>
        </xdr:from>
        <xdr:to>
          <xdr:col>8</xdr:col>
          <xdr:colOff>91440</xdr:colOff>
          <xdr:row>20</xdr:row>
          <xdr:rowOff>106680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trlProp" Target="../ctrlProps/ctrlProp3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6.x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trlProp" Target="../ctrlProps/ctrlProp5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zoomScale="90" zoomScaleNormal="90" workbookViewId="0">
      <selection activeCell="C8" sqref="C8:J41"/>
    </sheetView>
  </sheetViews>
  <sheetFormatPr defaultRowHeight="14.4" x14ac:dyDescent="0.3"/>
  <cols>
    <col min="4" max="4" width="12" bestFit="1" customWidth="1"/>
    <col min="5" max="5" width="18" bestFit="1" customWidth="1"/>
    <col min="7" max="7" width="12.44140625" bestFit="1" customWidth="1"/>
    <col min="8" max="8" width="12.21875" bestFit="1" customWidth="1"/>
    <col min="9" max="9" width="52.77734375" bestFit="1" customWidth="1"/>
  </cols>
  <sheetData>
    <row r="2" spans="3:10" x14ac:dyDescent="0.3">
      <c r="C2" s="1" t="s">
        <v>0</v>
      </c>
      <c r="D2" s="2"/>
      <c r="E2" s="2"/>
      <c r="F2" s="2"/>
      <c r="H2" s="3"/>
      <c r="I2" s="1" t="s">
        <v>18</v>
      </c>
    </row>
    <row r="3" spans="3:10" x14ac:dyDescent="0.3">
      <c r="C3" s="1" t="s">
        <v>1</v>
      </c>
      <c r="D3" s="2"/>
      <c r="E3" s="2"/>
      <c r="F3" s="2"/>
      <c r="H3" s="3"/>
    </row>
    <row r="4" spans="3:10" x14ac:dyDescent="0.3">
      <c r="C4" s="1" t="s">
        <v>15</v>
      </c>
      <c r="D4" s="2"/>
      <c r="E4" s="2"/>
      <c r="F4" s="2"/>
      <c r="H4" s="3"/>
    </row>
    <row r="5" spans="3:10" x14ac:dyDescent="0.3">
      <c r="C5" s="1" t="s">
        <v>16</v>
      </c>
      <c r="D5" s="2"/>
      <c r="E5" s="2"/>
      <c r="F5" s="2"/>
      <c r="H5" s="3"/>
    </row>
    <row r="6" spans="3:10" x14ac:dyDescent="0.3">
      <c r="C6" s="1" t="s">
        <v>17</v>
      </c>
      <c r="D6" s="2"/>
      <c r="E6" s="2"/>
      <c r="F6" s="2"/>
      <c r="H6" s="3"/>
    </row>
    <row r="7" spans="3:10" x14ac:dyDescent="0.3">
      <c r="D7" s="2"/>
      <c r="E7" s="2"/>
      <c r="F7" s="2"/>
      <c r="H7" s="3"/>
    </row>
    <row r="8" spans="3:10" x14ac:dyDescent="0.3">
      <c r="C8" s="4" t="s">
        <v>2</v>
      </c>
      <c r="D8" s="4" t="s">
        <v>3</v>
      </c>
      <c r="E8" s="4" t="s">
        <v>10</v>
      </c>
      <c r="F8" s="4" t="s">
        <v>11</v>
      </c>
      <c r="G8" s="4" t="s">
        <v>12</v>
      </c>
      <c r="H8" s="4" t="s">
        <v>13</v>
      </c>
      <c r="I8" s="4" t="s">
        <v>14</v>
      </c>
      <c r="J8" s="4" t="s">
        <v>9</v>
      </c>
    </row>
    <row r="9" spans="3:10" x14ac:dyDescent="0.3">
      <c r="C9" s="4">
        <v>20847</v>
      </c>
      <c r="D9" s="4" t="s">
        <v>4</v>
      </c>
      <c r="E9" s="4">
        <v>4</v>
      </c>
      <c r="F9" s="5">
        <v>2.84</v>
      </c>
      <c r="G9" s="5">
        <v>0.93</v>
      </c>
      <c r="H9" s="5">
        <f>E9*F9+G9</f>
        <v>12.29</v>
      </c>
      <c r="I9" s="4">
        <v>0.54</v>
      </c>
      <c r="J9" s="6">
        <f>E9*I9-G9</f>
        <v>1.23</v>
      </c>
    </row>
    <row r="10" spans="3:10" x14ac:dyDescent="0.3">
      <c r="C10" s="4">
        <v>20228</v>
      </c>
      <c r="D10" s="4" t="s">
        <v>5</v>
      </c>
      <c r="E10" s="4">
        <v>12</v>
      </c>
      <c r="F10" s="5">
        <v>500.98</v>
      </c>
      <c r="G10" s="5">
        <v>26</v>
      </c>
      <c r="H10" s="5"/>
      <c r="I10" s="4">
        <v>0.6</v>
      </c>
      <c r="J10" s="6"/>
    </row>
    <row r="11" spans="3:10" x14ac:dyDescent="0.3">
      <c r="C11" s="4">
        <v>21776</v>
      </c>
      <c r="D11" s="4" t="s">
        <v>6</v>
      </c>
      <c r="E11" s="4">
        <v>22</v>
      </c>
      <c r="F11" s="5">
        <v>9.48</v>
      </c>
      <c r="G11" s="5">
        <v>7.29</v>
      </c>
      <c r="H11" s="5"/>
      <c r="I11" s="4">
        <v>0.45</v>
      </c>
      <c r="J11" s="6"/>
    </row>
    <row r="12" spans="3:10" x14ac:dyDescent="0.3">
      <c r="C12" s="4">
        <v>24844</v>
      </c>
      <c r="D12" s="4" t="s">
        <v>7</v>
      </c>
      <c r="E12" s="4">
        <v>16</v>
      </c>
      <c r="F12" s="5">
        <v>78.69</v>
      </c>
      <c r="G12" s="5">
        <v>19.989999999999998</v>
      </c>
      <c r="H12" s="5"/>
      <c r="I12" s="4">
        <v>0.43</v>
      </c>
      <c r="J12" s="6"/>
    </row>
    <row r="13" spans="3:10" x14ac:dyDescent="0.3">
      <c r="C13" s="4">
        <v>24846</v>
      </c>
      <c r="D13" s="4" t="s">
        <v>7</v>
      </c>
      <c r="E13" s="4">
        <v>7</v>
      </c>
      <c r="F13" s="5">
        <v>3.28</v>
      </c>
      <c r="G13" s="5">
        <v>2.31</v>
      </c>
      <c r="H13" s="5"/>
      <c r="I13" s="4">
        <v>0.56000000000000005</v>
      </c>
      <c r="J13" s="6"/>
    </row>
    <row r="14" spans="3:10" x14ac:dyDescent="0.3">
      <c r="C14" s="4">
        <v>24847</v>
      </c>
      <c r="D14" s="4" t="s">
        <v>7</v>
      </c>
      <c r="E14" s="4">
        <v>4</v>
      </c>
      <c r="F14" s="5">
        <v>3.28</v>
      </c>
      <c r="G14" s="5">
        <v>4.2</v>
      </c>
      <c r="H14" s="5"/>
      <c r="I14" s="4">
        <v>0.56000000000000005</v>
      </c>
      <c r="J14" s="6"/>
    </row>
    <row r="15" spans="3:10" x14ac:dyDescent="0.3">
      <c r="C15" s="4">
        <v>24848</v>
      </c>
      <c r="D15" s="4" t="s">
        <v>7</v>
      </c>
      <c r="E15" s="4">
        <v>4</v>
      </c>
      <c r="F15" s="5">
        <v>3.58</v>
      </c>
      <c r="G15" s="5">
        <v>1.63</v>
      </c>
      <c r="H15" s="5"/>
      <c r="I15" s="4">
        <v>0.36</v>
      </c>
      <c r="J15" s="6"/>
    </row>
    <row r="16" spans="3:10" x14ac:dyDescent="0.3">
      <c r="C16" s="4">
        <v>18181</v>
      </c>
      <c r="D16" s="4" t="s">
        <v>6</v>
      </c>
      <c r="E16" s="4">
        <v>7</v>
      </c>
      <c r="F16" s="5">
        <v>4.42</v>
      </c>
      <c r="G16" s="5">
        <v>4.99</v>
      </c>
      <c r="H16" s="5"/>
      <c r="I16" s="4">
        <v>0.38</v>
      </c>
      <c r="J16" s="6"/>
    </row>
    <row r="17" spans="3:10" x14ac:dyDescent="0.3">
      <c r="C17" s="4">
        <v>20925</v>
      </c>
      <c r="D17" s="4" t="s">
        <v>7</v>
      </c>
      <c r="E17" s="4">
        <v>10</v>
      </c>
      <c r="F17" s="5">
        <v>35.94</v>
      </c>
      <c r="G17" s="5">
        <v>6.66</v>
      </c>
      <c r="H17" s="5"/>
      <c r="I17" s="4">
        <v>0.4</v>
      </c>
      <c r="J17" s="6"/>
    </row>
    <row r="18" spans="3:10" x14ac:dyDescent="0.3">
      <c r="C18" s="4">
        <v>26267</v>
      </c>
      <c r="D18" s="4" t="s">
        <v>4</v>
      </c>
      <c r="E18" s="4">
        <v>6</v>
      </c>
      <c r="F18" s="5">
        <v>2.98</v>
      </c>
      <c r="G18" s="5">
        <v>1.58</v>
      </c>
      <c r="H18" s="5"/>
      <c r="I18" s="4">
        <v>0.39</v>
      </c>
      <c r="J18" s="6"/>
    </row>
    <row r="19" spans="3:10" x14ac:dyDescent="0.3">
      <c r="C19" s="4">
        <v>26268</v>
      </c>
      <c r="D19" s="4" t="s">
        <v>4</v>
      </c>
      <c r="E19" s="4">
        <v>10</v>
      </c>
      <c r="F19" s="5">
        <v>115.99</v>
      </c>
      <c r="G19" s="5">
        <v>2.5</v>
      </c>
      <c r="H19" s="5"/>
      <c r="I19" s="4">
        <v>0.55000000000000004</v>
      </c>
      <c r="J19" s="6"/>
    </row>
    <row r="20" spans="3:10" x14ac:dyDescent="0.3">
      <c r="C20" s="4">
        <v>23890</v>
      </c>
      <c r="D20" s="4" t="s">
        <v>4</v>
      </c>
      <c r="E20" s="4">
        <v>17</v>
      </c>
      <c r="F20" s="5">
        <v>26.48</v>
      </c>
      <c r="G20" s="5">
        <v>6.93</v>
      </c>
      <c r="H20" s="5"/>
      <c r="I20" s="4">
        <v>0.49</v>
      </c>
      <c r="J20" s="6"/>
    </row>
    <row r="21" spans="3:10" x14ac:dyDescent="0.3">
      <c r="C21" s="4">
        <v>24063</v>
      </c>
      <c r="D21" s="4" t="s">
        <v>5</v>
      </c>
      <c r="E21" s="4">
        <v>18</v>
      </c>
      <c r="F21" s="5">
        <v>12.99</v>
      </c>
      <c r="G21" s="5">
        <v>9.44</v>
      </c>
      <c r="H21" s="5"/>
      <c r="I21" s="4">
        <v>0.39</v>
      </c>
      <c r="J21" s="6"/>
    </row>
    <row r="22" spans="3:10" x14ac:dyDescent="0.3">
      <c r="C22" s="4">
        <v>5890</v>
      </c>
      <c r="D22" s="4" t="s">
        <v>4</v>
      </c>
      <c r="E22" s="4">
        <v>70</v>
      </c>
      <c r="F22" s="5">
        <v>26.48</v>
      </c>
      <c r="G22" s="5">
        <v>6.93</v>
      </c>
      <c r="H22" s="5"/>
      <c r="I22" s="4">
        <v>0.49</v>
      </c>
      <c r="J22" s="6"/>
    </row>
    <row r="23" spans="3:10" x14ac:dyDescent="0.3">
      <c r="C23" s="4">
        <v>6062</v>
      </c>
      <c r="D23" s="4" t="s">
        <v>5</v>
      </c>
      <c r="E23" s="4">
        <v>58</v>
      </c>
      <c r="F23" s="5">
        <v>5</v>
      </c>
      <c r="G23" s="5">
        <v>3.39</v>
      </c>
      <c r="H23" s="5"/>
      <c r="I23" s="4">
        <v>0.37</v>
      </c>
      <c r="J23" s="6"/>
    </row>
    <row r="24" spans="3:10" x14ac:dyDescent="0.3">
      <c r="C24" s="4">
        <v>6063</v>
      </c>
      <c r="D24" s="4" t="s">
        <v>5</v>
      </c>
      <c r="E24" s="4">
        <v>71</v>
      </c>
      <c r="F24" s="5">
        <v>12.99</v>
      </c>
      <c r="G24" s="5">
        <v>9.44</v>
      </c>
      <c r="H24" s="5"/>
      <c r="I24" s="4">
        <v>0.39</v>
      </c>
      <c r="J24" s="6"/>
    </row>
    <row r="25" spans="3:10" x14ac:dyDescent="0.3">
      <c r="C25" s="4">
        <v>20631</v>
      </c>
      <c r="D25" s="4" t="s">
        <v>4</v>
      </c>
      <c r="E25" s="4">
        <v>1</v>
      </c>
      <c r="F25" s="5">
        <v>55.48</v>
      </c>
      <c r="G25" s="5">
        <v>14.3</v>
      </c>
      <c r="H25" s="5"/>
      <c r="I25" s="4">
        <v>0.37</v>
      </c>
      <c r="J25" s="6"/>
    </row>
    <row r="26" spans="3:10" x14ac:dyDescent="0.3">
      <c r="C26" s="4">
        <v>20632</v>
      </c>
      <c r="D26" s="4" t="s">
        <v>4</v>
      </c>
      <c r="E26" s="4">
        <v>1</v>
      </c>
      <c r="F26" s="5">
        <v>1.68</v>
      </c>
      <c r="G26" s="5">
        <v>1.57</v>
      </c>
      <c r="H26" s="5"/>
      <c r="I26" s="4">
        <v>0.59</v>
      </c>
      <c r="J26" s="6"/>
    </row>
    <row r="27" spans="3:10" x14ac:dyDescent="0.3">
      <c r="C27" s="4">
        <v>23967</v>
      </c>
      <c r="D27" s="4" t="s">
        <v>5</v>
      </c>
      <c r="E27" s="4">
        <v>12</v>
      </c>
      <c r="F27" s="5">
        <v>4.1399999999999997</v>
      </c>
      <c r="G27" s="5">
        <v>6.6</v>
      </c>
      <c r="H27" s="5"/>
      <c r="I27" s="4">
        <v>0.49</v>
      </c>
      <c r="J27" s="6"/>
    </row>
    <row r="28" spans="3:10" x14ac:dyDescent="0.3">
      <c r="C28" s="4">
        <v>23509</v>
      </c>
      <c r="D28" s="4" t="s">
        <v>4</v>
      </c>
      <c r="E28" s="4">
        <v>13</v>
      </c>
      <c r="F28" s="5">
        <v>34.99</v>
      </c>
      <c r="G28" s="5">
        <v>7.73</v>
      </c>
      <c r="H28" s="5"/>
      <c r="I28" s="4">
        <v>0.59</v>
      </c>
      <c r="J28" s="6"/>
    </row>
    <row r="29" spans="3:10" x14ac:dyDescent="0.3">
      <c r="C29" s="4">
        <v>23612</v>
      </c>
      <c r="D29" s="4" t="s">
        <v>4</v>
      </c>
      <c r="E29" s="4">
        <v>2</v>
      </c>
      <c r="F29" s="5">
        <v>17.98</v>
      </c>
      <c r="G29" s="5">
        <v>8.51</v>
      </c>
      <c r="H29" s="5"/>
      <c r="I29" s="4">
        <v>0.4</v>
      </c>
      <c r="J29" s="6"/>
    </row>
    <row r="30" spans="3:10" x14ac:dyDescent="0.3">
      <c r="C30" s="4">
        <v>23278</v>
      </c>
      <c r="D30" s="4" t="s">
        <v>7</v>
      </c>
      <c r="E30" s="4">
        <v>8</v>
      </c>
      <c r="F30" s="5">
        <v>125.99</v>
      </c>
      <c r="G30" s="5">
        <v>7.69</v>
      </c>
      <c r="H30" s="5"/>
      <c r="I30" s="4">
        <v>0.59</v>
      </c>
      <c r="J30" s="6"/>
    </row>
    <row r="31" spans="3:10" x14ac:dyDescent="0.3">
      <c r="C31" s="4">
        <v>19355</v>
      </c>
      <c r="D31" s="4" t="s">
        <v>8</v>
      </c>
      <c r="E31" s="4">
        <v>22</v>
      </c>
      <c r="F31" s="5">
        <v>205.99</v>
      </c>
      <c r="G31" s="5">
        <v>8.99</v>
      </c>
      <c r="H31" s="5"/>
      <c r="I31" s="4">
        <v>0.56000000000000005</v>
      </c>
      <c r="J31" s="6"/>
    </row>
    <row r="32" spans="3:10" x14ac:dyDescent="0.3">
      <c r="C32" s="4">
        <v>23654</v>
      </c>
      <c r="D32" s="4" t="s">
        <v>5</v>
      </c>
      <c r="E32" s="4">
        <v>13</v>
      </c>
      <c r="F32" s="5">
        <v>4.24</v>
      </c>
      <c r="G32" s="5">
        <v>5.41</v>
      </c>
      <c r="H32" s="5"/>
      <c r="I32" s="4">
        <v>0.35</v>
      </c>
      <c r="J32" s="6"/>
    </row>
    <row r="33" spans="3:10" x14ac:dyDescent="0.3">
      <c r="C33" s="4">
        <v>23655</v>
      </c>
      <c r="D33" s="4" t="s">
        <v>5</v>
      </c>
      <c r="E33" s="4">
        <v>18</v>
      </c>
      <c r="F33" s="5">
        <v>2.94</v>
      </c>
      <c r="G33" s="5">
        <v>0.7</v>
      </c>
      <c r="H33" s="5"/>
      <c r="I33" s="4">
        <v>0.57999999999999996</v>
      </c>
      <c r="J33" s="6"/>
    </row>
    <row r="34" spans="3:10" x14ac:dyDescent="0.3">
      <c r="C34" s="4">
        <v>25933</v>
      </c>
      <c r="D34" s="4" t="s">
        <v>4</v>
      </c>
      <c r="E34" s="4">
        <v>6</v>
      </c>
      <c r="F34" s="5">
        <v>99.99</v>
      </c>
      <c r="G34" s="5">
        <v>19.989999999999998</v>
      </c>
      <c r="H34" s="5"/>
      <c r="I34" s="4">
        <v>0.52</v>
      </c>
      <c r="J34" s="6"/>
    </row>
    <row r="35" spans="3:10" x14ac:dyDescent="0.3">
      <c r="C35" s="4">
        <v>20697</v>
      </c>
      <c r="D35" s="4" t="s">
        <v>7</v>
      </c>
      <c r="E35" s="4">
        <v>6</v>
      </c>
      <c r="F35" s="5">
        <v>115.99</v>
      </c>
      <c r="G35" s="5">
        <v>2.5</v>
      </c>
      <c r="H35" s="5"/>
      <c r="I35" s="4">
        <v>0.56999999999999995</v>
      </c>
      <c r="J35" s="6"/>
    </row>
    <row r="36" spans="3:10" x14ac:dyDescent="0.3">
      <c r="C36" s="4">
        <v>20698</v>
      </c>
      <c r="D36" s="4" t="s">
        <v>7</v>
      </c>
      <c r="E36" s="4">
        <v>1</v>
      </c>
      <c r="F36" s="5">
        <v>3502.14</v>
      </c>
      <c r="G36" s="5">
        <v>8.73</v>
      </c>
      <c r="H36" s="5"/>
      <c r="I36" s="4">
        <v>0.56999999999999995</v>
      </c>
      <c r="J36" s="6"/>
    </row>
    <row r="37" spans="3:10" x14ac:dyDescent="0.3">
      <c r="C37" s="4">
        <v>22890</v>
      </c>
      <c r="D37" s="4" t="s">
        <v>4</v>
      </c>
      <c r="E37" s="4">
        <v>17</v>
      </c>
      <c r="F37" s="5">
        <v>175.99</v>
      </c>
      <c r="G37" s="5">
        <v>5.79</v>
      </c>
      <c r="H37" s="5"/>
      <c r="I37" s="4">
        <v>0.36</v>
      </c>
      <c r="J37" s="6"/>
    </row>
    <row r="38" spans="3:10" x14ac:dyDescent="0.3">
      <c r="C38" s="4">
        <v>25354</v>
      </c>
      <c r="D38" s="4" t="s">
        <v>4</v>
      </c>
      <c r="E38" s="4">
        <v>20</v>
      </c>
      <c r="F38" s="5">
        <v>155.06</v>
      </c>
      <c r="G38" s="5">
        <v>1.49</v>
      </c>
      <c r="H38" s="5"/>
      <c r="I38" s="4">
        <v>0.38</v>
      </c>
      <c r="J38" s="6"/>
    </row>
    <row r="39" spans="3:10" x14ac:dyDescent="0.3">
      <c r="C39" s="4">
        <v>21017</v>
      </c>
      <c r="D39" s="4" t="s">
        <v>5</v>
      </c>
      <c r="E39" s="4">
        <v>17</v>
      </c>
      <c r="F39" s="5">
        <v>5.98</v>
      </c>
      <c r="G39" s="5">
        <v>0.7</v>
      </c>
      <c r="H39" s="5"/>
      <c r="I39" s="4">
        <v>0.56000000000000005</v>
      </c>
      <c r="J39" s="6"/>
    </row>
    <row r="40" spans="3:10" x14ac:dyDescent="0.3">
      <c r="C40" s="4">
        <v>21019</v>
      </c>
      <c r="D40" s="4" t="s">
        <v>5</v>
      </c>
      <c r="E40" s="4">
        <v>3</v>
      </c>
      <c r="F40" s="5">
        <v>29.14</v>
      </c>
      <c r="G40" s="5">
        <v>5.15</v>
      </c>
      <c r="H40" s="5"/>
      <c r="I40" s="4">
        <v>0.36</v>
      </c>
      <c r="J40" s="6"/>
    </row>
    <row r="41" spans="3:10" x14ac:dyDescent="0.3">
      <c r="C41" s="4">
        <v>23274</v>
      </c>
      <c r="D41" s="4" t="s">
        <v>8</v>
      </c>
      <c r="E41" s="4">
        <v>17</v>
      </c>
      <c r="F41" s="5">
        <v>3.69</v>
      </c>
      <c r="G41" s="5">
        <v>4.8600000000000003</v>
      </c>
      <c r="H41" s="5"/>
      <c r="I41" s="4">
        <v>0.38</v>
      </c>
      <c r="J4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EFEAD-1393-42AF-B580-33D62FBF1FA0}">
  <sheetPr codeName="Sheet2"/>
  <dimension ref="A1:H34"/>
  <sheetViews>
    <sheetView workbookViewId="0">
      <selection sqref="A1:H34"/>
    </sheetView>
  </sheetViews>
  <sheetFormatPr defaultRowHeight="14.4" x14ac:dyDescent="0.3"/>
  <cols>
    <col min="2" max="2" width="12.21875" bestFit="1" customWidth="1"/>
    <col min="3" max="3" width="15.21875" bestFit="1" customWidth="1"/>
    <col min="4" max="4" width="11" bestFit="1" customWidth="1"/>
    <col min="5" max="6" width="12" bestFit="1" customWidth="1"/>
    <col min="7" max="7" width="20.77734375" bestFit="1" customWidth="1"/>
    <col min="8" max="8" width="7.88671875" customWidth="1"/>
  </cols>
  <sheetData>
    <row r="1" spans="1:8" x14ac:dyDescent="0.3">
      <c r="A1" s="4" t="s">
        <v>2</v>
      </c>
      <c r="B1" s="4" t="s">
        <v>3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6" t="s">
        <v>9</v>
      </c>
    </row>
    <row r="2" spans="1:8" x14ac:dyDescent="0.3">
      <c r="A2" s="4">
        <v>20847</v>
      </c>
      <c r="B2" s="4" t="s">
        <v>4</v>
      </c>
      <c r="C2" s="4">
        <v>4</v>
      </c>
      <c r="D2" s="5">
        <v>2.84</v>
      </c>
      <c r="E2" s="5">
        <v>0.93</v>
      </c>
      <c r="F2" s="5">
        <f>C2*D2+E2</f>
        <v>12.29</v>
      </c>
      <c r="G2" s="8">
        <v>0.54</v>
      </c>
      <c r="H2" s="6">
        <f>C2*G2-E2</f>
        <v>1.23</v>
      </c>
    </row>
    <row r="3" spans="1:8" x14ac:dyDescent="0.3">
      <c r="A3" s="4">
        <v>20228</v>
      </c>
      <c r="B3" s="4" t="s">
        <v>5</v>
      </c>
      <c r="C3" s="4">
        <v>12</v>
      </c>
      <c r="D3" s="5">
        <v>500.98</v>
      </c>
      <c r="E3" s="5">
        <v>26</v>
      </c>
      <c r="F3" s="5">
        <f t="shared" ref="F3:F34" si="0">C3*D3+E3</f>
        <v>6037.76</v>
      </c>
      <c r="G3" s="8">
        <v>0.6</v>
      </c>
      <c r="H3" s="6">
        <f t="shared" ref="H3:H34" si="1">C3*G3-E3</f>
        <v>-18.8</v>
      </c>
    </row>
    <row r="4" spans="1:8" x14ac:dyDescent="0.3">
      <c r="A4" s="4">
        <v>21776</v>
      </c>
      <c r="B4" s="4" t="s">
        <v>6</v>
      </c>
      <c r="C4" s="4">
        <v>22</v>
      </c>
      <c r="D4" s="5">
        <v>9.48</v>
      </c>
      <c r="E4" s="5">
        <v>7.29</v>
      </c>
      <c r="F4" s="5">
        <f t="shared" si="0"/>
        <v>215.85</v>
      </c>
      <c r="G4" s="8">
        <v>0.45</v>
      </c>
      <c r="H4" s="6">
        <f t="shared" si="1"/>
        <v>2.6100000000000003</v>
      </c>
    </row>
    <row r="5" spans="1:8" x14ac:dyDescent="0.3">
      <c r="A5" s="4">
        <v>24844</v>
      </c>
      <c r="B5" s="4" t="s">
        <v>7</v>
      </c>
      <c r="C5" s="4">
        <v>16</v>
      </c>
      <c r="D5" s="5">
        <v>78.69</v>
      </c>
      <c r="E5" s="5">
        <v>19.989999999999998</v>
      </c>
      <c r="F5" s="5">
        <f t="shared" si="0"/>
        <v>1279.03</v>
      </c>
      <c r="G5" s="8">
        <v>0.43</v>
      </c>
      <c r="H5" s="6">
        <f t="shared" si="1"/>
        <v>-13.11</v>
      </c>
    </row>
    <row r="6" spans="1:8" x14ac:dyDescent="0.3">
      <c r="A6" s="4">
        <v>24846</v>
      </c>
      <c r="B6" s="4" t="s">
        <v>7</v>
      </c>
      <c r="C6" s="4">
        <v>7</v>
      </c>
      <c r="D6" s="5">
        <v>3.28</v>
      </c>
      <c r="E6" s="5">
        <v>2.31</v>
      </c>
      <c r="F6" s="5">
        <f t="shared" si="0"/>
        <v>25.269999999999996</v>
      </c>
      <c r="G6" s="8">
        <v>0.56000000000000005</v>
      </c>
      <c r="H6" s="6">
        <f t="shared" si="1"/>
        <v>1.6100000000000003</v>
      </c>
    </row>
    <row r="7" spans="1:8" x14ac:dyDescent="0.3">
      <c r="A7" s="4">
        <v>24847</v>
      </c>
      <c r="B7" s="4" t="s">
        <v>7</v>
      </c>
      <c r="C7" s="4">
        <v>4</v>
      </c>
      <c r="D7" s="5">
        <v>3.28</v>
      </c>
      <c r="E7" s="5">
        <v>4.2</v>
      </c>
      <c r="F7" s="5">
        <f t="shared" si="0"/>
        <v>17.32</v>
      </c>
      <c r="G7" s="8">
        <v>0.56000000000000005</v>
      </c>
      <c r="H7" s="6">
        <f t="shared" si="1"/>
        <v>-1.96</v>
      </c>
    </row>
    <row r="8" spans="1:8" x14ac:dyDescent="0.3">
      <c r="A8" s="4">
        <v>24848</v>
      </c>
      <c r="B8" s="4" t="s">
        <v>7</v>
      </c>
      <c r="C8" s="4">
        <v>4</v>
      </c>
      <c r="D8" s="5">
        <v>3.58</v>
      </c>
      <c r="E8" s="5">
        <v>1.63</v>
      </c>
      <c r="F8" s="5">
        <f t="shared" si="0"/>
        <v>15.95</v>
      </c>
      <c r="G8" s="8">
        <v>0.36</v>
      </c>
      <c r="H8" s="6">
        <f t="shared" si="1"/>
        <v>-0.18999999999999995</v>
      </c>
    </row>
    <row r="9" spans="1:8" x14ac:dyDescent="0.3">
      <c r="A9" s="4">
        <v>18181</v>
      </c>
      <c r="B9" s="4" t="s">
        <v>6</v>
      </c>
      <c r="C9" s="4">
        <v>7</v>
      </c>
      <c r="D9" s="5">
        <v>4.42</v>
      </c>
      <c r="E9" s="5">
        <v>4.99</v>
      </c>
      <c r="F9" s="5">
        <f t="shared" si="0"/>
        <v>35.93</v>
      </c>
      <c r="G9" s="8">
        <v>0.38</v>
      </c>
      <c r="H9" s="6">
        <f t="shared" si="1"/>
        <v>-2.33</v>
      </c>
    </row>
    <row r="10" spans="1:8" x14ac:dyDescent="0.3">
      <c r="A10" s="4">
        <v>20925</v>
      </c>
      <c r="B10" s="4" t="s">
        <v>7</v>
      </c>
      <c r="C10" s="4">
        <v>10</v>
      </c>
      <c r="D10" s="5">
        <v>35.94</v>
      </c>
      <c r="E10" s="5">
        <v>6.66</v>
      </c>
      <c r="F10" s="5">
        <f t="shared" si="0"/>
        <v>366.06</v>
      </c>
      <c r="G10" s="8">
        <v>0.4</v>
      </c>
      <c r="H10" s="6">
        <f t="shared" si="1"/>
        <v>-2.66</v>
      </c>
    </row>
    <row r="11" spans="1:8" x14ac:dyDescent="0.3">
      <c r="A11" s="4">
        <v>26267</v>
      </c>
      <c r="B11" s="4" t="s">
        <v>4</v>
      </c>
      <c r="C11" s="4">
        <v>6</v>
      </c>
      <c r="D11" s="5">
        <v>2.98</v>
      </c>
      <c r="E11" s="5">
        <v>1.58</v>
      </c>
      <c r="F11" s="5">
        <f t="shared" si="0"/>
        <v>19.46</v>
      </c>
      <c r="G11" s="8">
        <v>0.39</v>
      </c>
      <c r="H11" s="6">
        <f t="shared" si="1"/>
        <v>0.75999999999999979</v>
      </c>
    </row>
    <row r="12" spans="1:8" x14ac:dyDescent="0.3">
      <c r="A12" s="4">
        <v>26268</v>
      </c>
      <c r="B12" s="4" t="s">
        <v>4</v>
      </c>
      <c r="C12" s="4">
        <v>10</v>
      </c>
      <c r="D12" s="5">
        <v>115.99</v>
      </c>
      <c r="E12" s="5">
        <v>2.5</v>
      </c>
      <c r="F12" s="5">
        <f t="shared" si="0"/>
        <v>1162.3999999999999</v>
      </c>
      <c r="G12" s="8">
        <v>0.55000000000000004</v>
      </c>
      <c r="H12" s="6">
        <f t="shared" si="1"/>
        <v>3</v>
      </c>
    </row>
    <row r="13" spans="1:8" x14ac:dyDescent="0.3">
      <c r="A13" s="4">
        <v>23890</v>
      </c>
      <c r="B13" s="4" t="s">
        <v>4</v>
      </c>
      <c r="C13" s="4">
        <v>17</v>
      </c>
      <c r="D13" s="5">
        <v>26.48</v>
      </c>
      <c r="E13" s="5">
        <v>6.93</v>
      </c>
      <c r="F13" s="5">
        <f t="shared" si="0"/>
        <v>457.09000000000003</v>
      </c>
      <c r="G13" s="8">
        <v>0.49</v>
      </c>
      <c r="H13" s="6">
        <f t="shared" si="1"/>
        <v>1.4000000000000004</v>
      </c>
    </row>
    <row r="14" spans="1:8" x14ac:dyDescent="0.3">
      <c r="A14" s="4">
        <v>24063</v>
      </c>
      <c r="B14" s="4" t="s">
        <v>5</v>
      </c>
      <c r="C14" s="4">
        <v>18</v>
      </c>
      <c r="D14" s="5">
        <v>12.99</v>
      </c>
      <c r="E14" s="5">
        <v>9.44</v>
      </c>
      <c r="F14" s="5">
        <f t="shared" si="0"/>
        <v>243.26</v>
      </c>
      <c r="G14" s="8">
        <v>0.39</v>
      </c>
      <c r="H14" s="6">
        <f t="shared" si="1"/>
        <v>-2.419999999999999</v>
      </c>
    </row>
    <row r="15" spans="1:8" x14ac:dyDescent="0.3">
      <c r="A15" s="4">
        <v>5890</v>
      </c>
      <c r="B15" s="4" t="s">
        <v>4</v>
      </c>
      <c r="C15" s="4">
        <v>70</v>
      </c>
      <c r="D15" s="5">
        <v>26.48</v>
      </c>
      <c r="E15" s="5">
        <v>6.93</v>
      </c>
      <c r="F15" s="5">
        <f t="shared" si="0"/>
        <v>1860.5300000000002</v>
      </c>
      <c r="G15" s="8">
        <v>0.49</v>
      </c>
      <c r="H15" s="6">
        <f t="shared" si="1"/>
        <v>27.369999999999997</v>
      </c>
    </row>
    <row r="16" spans="1:8" x14ac:dyDescent="0.3">
      <c r="A16" s="4">
        <v>6062</v>
      </c>
      <c r="B16" s="4" t="s">
        <v>5</v>
      </c>
      <c r="C16" s="4">
        <v>58</v>
      </c>
      <c r="D16" s="5">
        <v>5</v>
      </c>
      <c r="E16" s="5">
        <v>3.39</v>
      </c>
      <c r="F16" s="5">
        <f t="shared" si="0"/>
        <v>293.39</v>
      </c>
      <c r="G16" s="8">
        <v>0.37</v>
      </c>
      <c r="H16" s="6">
        <f t="shared" si="1"/>
        <v>18.07</v>
      </c>
    </row>
    <row r="17" spans="1:8" x14ac:dyDescent="0.3">
      <c r="A17" s="4">
        <v>6063</v>
      </c>
      <c r="B17" s="4" t="s">
        <v>5</v>
      </c>
      <c r="C17" s="4">
        <v>71</v>
      </c>
      <c r="D17" s="5">
        <v>12.99</v>
      </c>
      <c r="E17" s="5">
        <v>9.44</v>
      </c>
      <c r="F17" s="5">
        <f t="shared" si="0"/>
        <v>931.73</v>
      </c>
      <c r="G17" s="8">
        <v>0.39</v>
      </c>
      <c r="H17" s="6">
        <f t="shared" si="1"/>
        <v>18.25</v>
      </c>
    </row>
    <row r="18" spans="1:8" x14ac:dyDescent="0.3">
      <c r="A18" s="4">
        <v>20631</v>
      </c>
      <c r="B18" s="4" t="s">
        <v>4</v>
      </c>
      <c r="C18" s="4">
        <v>1</v>
      </c>
      <c r="D18" s="5">
        <v>55.48</v>
      </c>
      <c r="E18" s="5">
        <v>14.3</v>
      </c>
      <c r="F18" s="5">
        <f t="shared" si="0"/>
        <v>69.78</v>
      </c>
      <c r="G18" s="8">
        <v>0.37</v>
      </c>
      <c r="H18" s="6">
        <f t="shared" si="1"/>
        <v>-13.930000000000001</v>
      </c>
    </row>
    <row r="19" spans="1:8" x14ac:dyDescent="0.3">
      <c r="A19" s="4">
        <v>20632</v>
      </c>
      <c r="B19" s="4" t="s">
        <v>4</v>
      </c>
      <c r="C19" s="4">
        <v>1</v>
      </c>
      <c r="D19" s="5">
        <v>1.68</v>
      </c>
      <c r="E19" s="5">
        <v>1.57</v>
      </c>
      <c r="F19" s="5">
        <f t="shared" si="0"/>
        <v>3.25</v>
      </c>
      <c r="G19" s="8">
        <v>0.59</v>
      </c>
      <c r="H19" s="6">
        <f t="shared" si="1"/>
        <v>-0.98000000000000009</v>
      </c>
    </row>
    <row r="20" spans="1:8" x14ac:dyDescent="0.3">
      <c r="A20" s="4">
        <v>23967</v>
      </c>
      <c r="B20" s="4" t="s">
        <v>5</v>
      </c>
      <c r="C20" s="4">
        <v>12</v>
      </c>
      <c r="D20" s="5">
        <v>4.1399999999999997</v>
      </c>
      <c r="E20" s="5">
        <v>6.6</v>
      </c>
      <c r="F20" s="5">
        <f t="shared" si="0"/>
        <v>56.279999999999994</v>
      </c>
      <c r="G20" s="8">
        <v>0.49</v>
      </c>
      <c r="H20" s="6">
        <f t="shared" si="1"/>
        <v>-0.71999999999999975</v>
      </c>
    </row>
    <row r="21" spans="1:8" x14ac:dyDescent="0.3">
      <c r="A21" s="4">
        <v>23509</v>
      </c>
      <c r="B21" s="4" t="s">
        <v>4</v>
      </c>
      <c r="C21" s="4">
        <v>13</v>
      </c>
      <c r="D21" s="5">
        <v>34.99</v>
      </c>
      <c r="E21" s="5">
        <v>7.73</v>
      </c>
      <c r="F21" s="5">
        <f t="shared" si="0"/>
        <v>462.6</v>
      </c>
      <c r="G21" s="8">
        <v>0.59</v>
      </c>
      <c r="H21" s="6">
        <f t="shared" si="1"/>
        <v>-6.0000000000000497E-2</v>
      </c>
    </row>
    <row r="22" spans="1:8" x14ac:dyDescent="0.3">
      <c r="A22" s="4">
        <v>23612</v>
      </c>
      <c r="B22" s="4" t="s">
        <v>4</v>
      </c>
      <c r="C22" s="4">
        <v>2</v>
      </c>
      <c r="D22" s="5">
        <v>17.98</v>
      </c>
      <c r="E22" s="5">
        <v>8.51</v>
      </c>
      <c r="F22" s="5">
        <f t="shared" si="0"/>
        <v>44.47</v>
      </c>
      <c r="G22" s="8">
        <v>0.4</v>
      </c>
      <c r="H22" s="6">
        <f t="shared" si="1"/>
        <v>-7.71</v>
      </c>
    </row>
    <row r="23" spans="1:8" x14ac:dyDescent="0.3">
      <c r="A23" s="4">
        <v>23278</v>
      </c>
      <c r="B23" s="4" t="s">
        <v>7</v>
      </c>
      <c r="C23" s="4">
        <v>8</v>
      </c>
      <c r="D23" s="5">
        <v>125.99</v>
      </c>
      <c r="E23" s="5">
        <v>7.69</v>
      </c>
      <c r="F23" s="5">
        <f t="shared" si="0"/>
        <v>1015.61</v>
      </c>
      <c r="G23" s="8">
        <v>0.59</v>
      </c>
      <c r="H23" s="6">
        <f t="shared" si="1"/>
        <v>-2.9700000000000006</v>
      </c>
    </row>
    <row r="24" spans="1:8" x14ac:dyDescent="0.3">
      <c r="A24" s="4">
        <v>19355</v>
      </c>
      <c r="B24" s="4" t="s">
        <v>8</v>
      </c>
      <c r="C24" s="4">
        <v>22</v>
      </c>
      <c r="D24" s="5">
        <v>205.99</v>
      </c>
      <c r="E24" s="5">
        <v>8.99</v>
      </c>
      <c r="F24" s="5">
        <f t="shared" si="0"/>
        <v>4540.7700000000004</v>
      </c>
      <c r="G24" s="8">
        <v>0.56000000000000005</v>
      </c>
      <c r="H24" s="6">
        <f t="shared" si="1"/>
        <v>3.33</v>
      </c>
    </row>
    <row r="25" spans="1:8" x14ac:dyDescent="0.3">
      <c r="A25" s="4">
        <v>23654</v>
      </c>
      <c r="B25" s="4" t="s">
        <v>5</v>
      </c>
      <c r="C25" s="4">
        <v>13</v>
      </c>
      <c r="D25" s="5">
        <v>4.24</v>
      </c>
      <c r="E25" s="5">
        <v>5.41</v>
      </c>
      <c r="F25" s="5">
        <f t="shared" si="0"/>
        <v>60.53</v>
      </c>
      <c r="G25" s="8">
        <v>0.35</v>
      </c>
      <c r="H25" s="6">
        <f t="shared" si="1"/>
        <v>-0.86000000000000032</v>
      </c>
    </row>
    <row r="26" spans="1:8" x14ac:dyDescent="0.3">
      <c r="A26" s="4">
        <v>23655</v>
      </c>
      <c r="B26" s="4" t="s">
        <v>5</v>
      </c>
      <c r="C26" s="4">
        <v>18</v>
      </c>
      <c r="D26" s="5">
        <v>2.94</v>
      </c>
      <c r="E26" s="5">
        <v>0.7</v>
      </c>
      <c r="F26" s="5">
        <f t="shared" si="0"/>
        <v>53.620000000000005</v>
      </c>
      <c r="G26" s="8">
        <v>0.57999999999999996</v>
      </c>
      <c r="H26" s="6">
        <f t="shared" si="1"/>
        <v>9.74</v>
      </c>
    </row>
    <row r="27" spans="1:8" x14ac:dyDescent="0.3">
      <c r="A27" s="4">
        <v>25933</v>
      </c>
      <c r="B27" s="4" t="s">
        <v>4</v>
      </c>
      <c r="C27" s="4">
        <v>6</v>
      </c>
      <c r="D27" s="5">
        <v>99.99</v>
      </c>
      <c r="E27" s="5">
        <v>19.989999999999998</v>
      </c>
      <c r="F27" s="5">
        <f t="shared" si="0"/>
        <v>619.92999999999995</v>
      </c>
      <c r="G27" s="8">
        <v>0.52</v>
      </c>
      <c r="H27" s="6">
        <f t="shared" si="1"/>
        <v>-16.869999999999997</v>
      </c>
    </row>
    <row r="28" spans="1:8" x14ac:dyDescent="0.3">
      <c r="A28" s="4">
        <v>20697</v>
      </c>
      <c r="B28" s="4" t="s">
        <v>7</v>
      </c>
      <c r="C28" s="4">
        <v>6</v>
      </c>
      <c r="D28" s="5">
        <v>115.99</v>
      </c>
      <c r="E28" s="5">
        <v>2.5</v>
      </c>
      <c r="F28" s="5">
        <f t="shared" si="0"/>
        <v>698.43999999999994</v>
      </c>
      <c r="G28" s="8">
        <v>0.56999999999999995</v>
      </c>
      <c r="H28" s="6">
        <f t="shared" si="1"/>
        <v>0.91999999999999993</v>
      </c>
    </row>
    <row r="29" spans="1:8" x14ac:dyDescent="0.3">
      <c r="A29" s="4">
        <v>20698</v>
      </c>
      <c r="B29" s="4" t="s">
        <v>7</v>
      </c>
      <c r="C29" s="4">
        <v>1</v>
      </c>
      <c r="D29" s="5">
        <v>3502.14</v>
      </c>
      <c r="E29" s="5">
        <v>8.73</v>
      </c>
      <c r="F29" s="5">
        <f t="shared" si="0"/>
        <v>3510.87</v>
      </c>
      <c r="G29" s="8">
        <v>0.56999999999999995</v>
      </c>
      <c r="H29" s="6">
        <f t="shared" si="1"/>
        <v>-8.16</v>
      </c>
    </row>
    <row r="30" spans="1:8" x14ac:dyDescent="0.3">
      <c r="A30" s="4">
        <v>22890</v>
      </c>
      <c r="B30" s="4" t="s">
        <v>4</v>
      </c>
      <c r="C30" s="4">
        <v>17</v>
      </c>
      <c r="D30" s="5">
        <v>175.99</v>
      </c>
      <c r="E30" s="5">
        <v>5.79</v>
      </c>
      <c r="F30" s="5">
        <f t="shared" si="0"/>
        <v>2997.62</v>
      </c>
      <c r="G30" s="8">
        <v>0.36</v>
      </c>
      <c r="H30" s="6">
        <f t="shared" si="1"/>
        <v>0.33000000000000007</v>
      </c>
    </row>
    <row r="31" spans="1:8" x14ac:dyDescent="0.3">
      <c r="A31" s="4">
        <v>25354</v>
      </c>
      <c r="B31" s="4" t="s">
        <v>4</v>
      </c>
      <c r="C31" s="4">
        <v>20</v>
      </c>
      <c r="D31" s="5">
        <v>155.06</v>
      </c>
      <c r="E31" s="5">
        <v>1.49</v>
      </c>
      <c r="F31" s="5">
        <f t="shared" si="0"/>
        <v>3102.6899999999996</v>
      </c>
      <c r="G31" s="8">
        <v>0.38</v>
      </c>
      <c r="H31" s="6">
        <f t="shared" si="1"/>
        <v>6.1099999999999994</v>
      </c>
    </row>
    <row r="32" spans="1:8" x14ac:dyDescent="0.3">
      <c r="A32" s="4">
        <v>21017</v>
      </c>
      <c r="B32" s="4" t="s">
        <v>5</v>
      </c>
      <c r="C32" s="4">
        <v>17</v>
      </c>
      <c r="D32" s="5">
        <v>5.98</v>
      </c>
      <c r="E32" s="5">
        <v>0.7</v>
      </c>
      <c r="F32" s="5">
        <f t="shared" si="0"/>
        <v>102.36000000000001</v>
      </c>
      <c r="G32" s="8">
        <v>0.56000000000000005</v>
      </c>
      <c r="H32" s="6">
        <f t="shared" si="1"/>
        <v>8.8200000000000021</v>
      </c>
    </row>
    <row r="33" spans="1:8" x14ac:dyDescent="0.3">
      <c r="A33" s="4">
        <v>21019</v>
      </c>
      <c r="B33" s="4" t="s">
        <v>5</v>
      </c>
      <c r="C33" s="4">
        <v>3</v>
      </c>
      <c r="D33" s="5">
        <v>29.14</v>
      </c>
      <c r="E33" s="5">
        <v>5.15</v>
      </c>
      <c r="F33" s="5">
        <f t="shared" si="0"/>
        <v>92.570000000000007</v>
      </c>
      <c r="G33" s="8">
        <v>0.36</v>
      </c>
      <c r="H33" s="6">
        <f t="shared" si="1"/>
        <v>-4.07</v>
      </c>
    </row>
    <row r="34" spans="1:8" x14ac:dyDescent="0.3">
      <c r="A34" s="4">
        <v>23274</v>
      </c>
      <c r="B34" s="4" t="s">
        <v>8</v>
      </c>
      <c r="C34" s="4">
        <v>17</v>
      </c>
      <c r="D34" s="5">
        <v>3.69</v>
      </c>
      <c r="E34" s="5">
        <v>4.8600000000000003</v>
      </c>
      <c r="F34" s="5">
        <f t="shared" si="0"/>
        <v>67.59</v>
      </c>
      <c r="G34" s="8">
        <v>0.38</v>
      </c>
      <c r="H34" s="6">
        <f t="shared" si="1"/>
        <v>1.5999999999999996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Clear">
                <anchor moveWithCells="1" sizeWithCells="1">
                  <from>
                    <xdr:col>10</xdr:col>
                    <xdr:colOff>251460</xdr:colOff>
                    <xdr:row>6</xdr:row>
                    <xdr:rowOff>114300</xdr:rowOff>
                  </from>
                  <to>
                    <xdr:col>11</xdr:col>
                    <xdr:colOff>594360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ormatting1">
                <anchor moveWithCells="1" sizeWithCells="1">
                  <from>
                    <xdr:col>10</xdr:col>
                    <xdr:colOff>358140</xdr:colOff>
                    <xdr:row>3</xdr:row>
                    <xdr:rowOff>99060</xdr:rowOff>
                  </from>
                  <to>
                    <xdr:col>12</xdr:col>
                    <xdr:colOff>594360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B7B8-DB88-4F19-8394-9383D933ED13}">
  <sheetPr codeName="Sheet3"/>
  <dimension ref="A1:H34"/>
  <sheetViews>
    <sheetView zoomScaleNormal="100" workbookViewId="0"/>
  </sheetViews>
  <sheetFormatPr defaultRowHeight="14.4" x14ac:dyDescent="0.3"/>
  <cols>
    <col min="2" max="2" width="12.21875" bestFit="1" customWidth="1"/>
    <col min="3" max="3" width="15.21875" bestFit="1" customWidth="1"/>
    <col min="4" max="4" width="9.5546875" bestFit="1" customWidth="1"/>
    <col min="5" max="6" width="12.109375" bestFit="1" customWidth="1"/>
    <col min="7" max="7" width="20.77734375" bestFit="1" customWidth="1"/>
    <col min="8" max="8" width="7.88671875" customWidth="1"/>
  </cols>
  <sheetData>
    <row r="1" spans="1:8" x14ac:dyDescent="0.3">
      <c r="A1" s="4" t="s">
        <v>2</v>
      </c>
      <c r="B1" s="4" t="s">
        <v>3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9</v>
      </c>
    </row>
    <row r="2" spans="1:8" x14ac:dyDescent="0.3">
      <c r="A2" s="4">
        <v>20847</v>
      </c>
      <c r="B2" s="4" t="s">
        <v>4</v>
      </c>
      <c r="C2" s="4">
        <v>4</v>
      </c>
      <c r="D2" s="5">
        <v>2.84</v>
      </c>
      <c r="E2" s="5">
        <v>0.93</v>
      </c>
      <c r="F2" s="5">
        <f>C2*D2+E2</f>
        <v>12.29</v>
      </c>
      <c r="G2" s="7">
        <v>0.54</v>
      </c>
      <c r="H2" s="6">
        <f>C2*G2-E2</f>
        <v>1.23</v>
      </c>
    </row>
    <row r="3" spans="1:8" x14ac:dyDescent="0.3">
      <c r="A3" s="4">
        <v>20228</v>
      </c>
      <c r="B3" s="4" t="s">
        <v>5</v>
      </c>
      <c r="C3" s="4">
        <v>12</v>
      </c>
      <c r="D3" s="5">
        <v>500.98</v>
      </c>
      <c r="E3" s="5">
        <v>26</v>
      </c>
      <c r="F3" s="5">
        <f t="shared" ref="F3:F34" si="0">C3*D3+E3</f>
        <v>6037.76</v>
      </c>
      <c r="G3" s="7">
        <v>0.6</v>
      </c>
      <c r="H3" s="6">
        <f t="shared" ref="H3:H34" si="1">C3*G3-E3</f>
        <v>-18.8</v>
      </c>
    </row>
    <row r="4" spans="1:8" x14ac:dyDescent="0.3">
      <c r="A4" s="4">
        <v>21776</v>
      </c>
      <c r="B4" s="4" t="s">
        <v>6</v>
      </c>
      <c r="C4" s="4">
        <v>22</v>
      </c>
      <c r="D4" s="5">
        <v>9.48</v>
      </c>
      <c r="E4" s="5">
        <v>7.29</v>
      </c>
      <c r="F4" s="5">
        <f t="shared" si="0"/>
        <v>215.85</v>
      </c>
      <c r="G4" s="7">
        <v>0.45</v>
      </c>
      <c r="H4" s="6">
        <f t="shared" si="1"/>
        <v>2.6100000000000003</v>
      </c>
    </row>
    <row r="5" spans="1:8" x14ac:dyDescent="0.3">
      <c r="A5" s="4">
        <v>24844</v>
      </c>
      <c r="B5" s="4" t="s">
        <v>7</v>
      </c>
      <c r="C5" s="4">
        <v>16</v>
      </c>
      <c r="D5" s="5">
        <v>78.69</v>
      </c>
      <c r="E5" s="5">
        <v>19.989999999999998</v>
      </c>
      <c r="F5" s="5">
        <f t="shared" si="0"/>
        <v>1279.03</v>
      </c>
      <c r="G5" s="7">
        <v>0.43</v>
      </c>
      <c r="H5" s="6">
        <f t="shared" si="1"/>
        <v>-13.11</v>
      </c>
    </row>
    <row r="6" spans="1:8" x14ac:dyDescent="0.3">
      <c r="A6" s="4">
        <v>24846</v>
      </c>
      <c r="B6" s="4" t="s">
        <v>7</v>
      </c>
      <c r="C6" s="4">
        <v>7</v>
      </c>
      <c r="D6" s="5">
        <v>3.28</v>
      </c>
      <c r="E6" s="5">
        <v>2.31</v>
      </c>
      <c r="F6" s="5">
        <f t="shared" si="0"/>
        <v>25.269999999999996</v>
      </c>
      <c r="G6" s="7">
        <v>0.56000000000000005</v>
      </c>
      <c r="H6" s="6">
        <f t="shared" si="1"/>
        <v>1.6100000000000003</v>
      </c>
    </row>
    <row r="7" spans="1:8" x14ac:dyDescent="0.3">
      <c r="A7" s="4">
        <v>24847</v>
      </c>
      <c r="B7" s="4" t="s">
        <v>7</v>
      </c>
      <c r="C7" s="4">
        <v>4</v>
      </c>
      <c r="D7" s="5">
        <v>3.28</v>
      </c>
      <c r="E7" s="5">
        <v>4.2</v>
      </c>
      <c r="F7" s="5">
        <f t="shared" si="0"/>
        <v>17.32</v>
      </c>
      <c r="G7" s="7">
        <v>0.56000000000000005</v>
      </c>
      <c r="H7" s="6">
        <f t="shared" si="1"/>
        <v>-1.96</v>
      </c>
    </row>
    <row r="8" spans="1:8" x14ac:dyDescent="0.3">
      <c r="A8" s="4">
        <v>24848</v>
      </c>
      <c r="B8" s="4" t="s">
        <v>7</v>
      </c>
      <c r="C8" s="4">
        <v>4</v>
      </c>
      <c r="D8" s="5">
        <v>3.58</v>
      </c>
      <c r="E8" s="5">
        <v>1.63</v>
      </c>
      <c r="F8" s="5">
        <f t="shared" si="0"/>
        <v>15.95</v>
      </c>
      <c r="G8" s="7">
        <v>0.36</v>
      </c>
      <c r="H8" s="6">
        <f t="shared" si="1"/>
        <v>-0.18999999999999995</v>
      </c>
    </row>
    <row r="9" spans="1:8" x14ac:dyDescent="0.3">
      <c r="A9" s="4">
        <v>18181</v>
      </c>
      <c r="B9" s="4" t="s">
        <v>6</v>
      </c>
      <c r="C9" s="4">
        <v>7</v>
      </c>
      <c r="D9" s="5">
        <v>4.42</v>
      </c>
      <c r="E9" s="5">
        <v>4.99</v>
      </c>
      <c r="F9" s="5">
        <f t="shared" si="0"/>
        <v>35.93</v>
      </c>
      <c r="G9" s="7">
        <v>0.38</v>
      </c>
      <c r="H9" s="6">
        <f t="shared" si="1"/>
        <v>-2.33</v>
      </c>
    </row>
    <row r="10" spans="1:8" x14ac:dyDescent="0.3">
      <c r="A10" s="4">
        <v>20925</v>
      </c>
      <c r="B10" s="4" t="s">
        <v>7</v>
      </c>
      <c r="C10" s="4">
        <v>10</v>
      </c>
      <c r="D10" s="5">
        <v>35.94</v>
      </c>
      <c r="E10" s="5">
        <v>6.66</v>
      </c>
      <c r="F10" s="5">
        <f t="shared" si="0"/>
        <v>366.06</v>
      </c>
      <c r="G10" s="7">
        <v>0.4</v>
      </c>
      <c r="H10" s="6">
        <f t="shared" si="1"/>
        <v>-2.66</v>
      </c>
    </row>
    <row r="11" spans="1:8" x14ac:dyDescent="0.3">
      <c r="A11" s="4">
        <v>26267</v>
      </c>
      <c r="B11" s="4" t="s">
        <v>4</v>
      </c>
      <c r="C11" s="4">
        <v>6</v>
      </c>
      <c r="D11" s="5">
        <v>2.98</v>
      </c>
      <c r="E11" s="5">
        <v>1.58</v>
      </c>
      <c r="F11" s="5">
        <f t="shared" si="0"/>
        <v>19.46</v>
      </c>
      <c r="G11" s="7">
        <v>0.39</v>
      </c>
      <c r="H11" s="6">
        <f t="shared" si="1"/>
        <v>0.75999999999999979</v>
      </c>
    </row>
    <row r="12" spans="1:8" x14ac:dyDescent="0.3">
      <c r="A12" s="4">
        <v>26268</v>
      </c>
      <c r="B12" s="4" t="s">
        <v>4</v>
      </c>
      <c r="C12" s="4">
        <v>10</v>
      </c>
      <c r="D12" s="5">
        <v>115.99</v>
      </c>
      <c r="E12" s="5">
        <v>2.5</v>
      </c>
      <c r="F12" s="5">
        <f t="shared" si="0"/>
        <v>1162.3999999999999</v>
      </c>
      <c r="G12" s="7">
        <v>0.55000000000000004</v>
      </c>
      <c r="H12" s="6">
        <f t="shared" si="1"/>
        <v>3</v>
      </c>
    </row>
    <row r="13" spans="1:8" x14ac:dyDescent="0.3">
      <c r="A13" s="4">
        <v>23890</v>
      </c>
      <c r="B13" s="4" t="s">
        <v>4</v>
      </c>
      <c r="C13" s="4">
        <v>17</v>
      </c>
      <c r="D13" s="5">
        <v>26.48</v>
      </c>
      <c r="E13" s="5">
        <v>6.93</v>
      </c>
      <c r="F13" s="5">
        <f t="shared" si="0"/>
        <v>457.09000000000003</v>
      </c>
      <c r="G13" s="7">
        <v>0.49</v>
      </c>
      <c r="H13" s="6">
        <f t="shared" si="1"/>
        <v>1.4000000000000004</v>
      </c>
    </row>
    <row r="14" spans="1:8" x14ac:dyDescent="0.3">
      <c r="A14" s="4">
        <v>24063</v>
      </c>
      <c r="B14" s="4" t="s">
        <v>5</v>
      </c>
      <c r="C14" s="4">
        <v>18</v>
      </c>
      <c r="D14" s="5">
        <v>12.99</v>
      </c>
      <c r="E14" s="5">
        <v>9.44</v>
      </c>
      <c r="F14" s="5">
        <f t="shared" si="0"/>
        <v>243.26</v>
      </c>
      <c r="G14" s="7">
        <v>0.39</v>
      </c>
      <c r="H14" s="6">
        <f t="shared" si="1"/>
        <v>-2.419999999999999</v>
      </c>
    </row>
    <row r="15" spans="1:8" x14ac:dyDescent="0.3">
      <c r="A15" s="4">
        <v>5890</v>
      </c>
      <c r="B15" s="4" t="s">
        <v>4</v>
      </c>
      <c r="C15" s="4">
        <v>70</v>
      </c>
      <c r="D15" s="5">
        <v>26.48</v>
      </c>
      <c r="E15" s="5">
        <v>6.93</v>
      </c>
      <c r="F15" s="5">
        <f t="shared" si="0"/>
        <v>1860.5300000000002</v>
      </c>
      <c r="G15" s="7">
        <v>0.49</v>
      </c>
      <c r="H15" s="6">
        <f t="shared" si="1"/>
        <v>27.369999999999997</v>
      </c>
    </row>
    <row r="16" spans="1:8" x14ac:dyDescent="0.3">
      <c r="A16" s="4">
        <v>6062</v>
      </c>
      <c r="B16" s="4" t="s">
        <v>5</v>
      </c>
      <c r="C16" s="4">
        <v>58</v>
      </c>
      <c r="D16" s="5">
        <v>5</v>
      </c>
      <c r="E16" s="5">
        <v>3.39</v>
      </c>
      <c r="F16" s="5">
        <f t="shared" si="0"/>
        <v>293.39</v>
      </c>
      <c r="G16" s="7">
        <v>0.37</v>
      </c>
      <c r="H16" s="6">
        <f t="shared" si="1"/>
        <v>18.07</v>
      </c>
    </row>
    <row r="17" spans="1:8" x14ac:dyDescent="0.3">
      <c r="A17" s="4">
        <v>6063</v>
      </c>
      <c r="B17" s="4" t="s">
        <v>5</v>
      </c>
      <c r="C17" s="4">
        <v>71</v>
      </c>
      <c r="D17" s="5">
        <v>12.99</v>
      </c>
      <c r="E17" s="5">
        <v>9.44</v>
      </c>
      <c r="F17" s="5">
        <f t="shared" si="0"/>
        <v>931.73</v>
      </c>
      <c r="G17" s="7">
        <v>0.39</v>
      </c>
      <c r="H17" s="6">
        <f t="shared" si="1"/>
        <v>18.25</v>
      </c>
    </row>
    <row r="18" spans="1:8" x14ac:dyDescent="0.3">
      <c r="A18" s="4">
        <v>20631</v>
      </c>
      <c r="B18" s="4" t="s">
        <v>4</v>
      </c>
      <c r="C18" s="4">
        <v>1</v>
      </c>
      <c r="D18" s="5">
        <v>55.48</v>
      </c>
      <c r="E18" s="5">
        <v>14.3</v>
      </c>
      <c r="F18" s="5">
        <f t="shared" si="0"/>
        <v>69.78</v>
      </c>
      <c r="G18" s="7">
        <v>0.37</v>
      </c>
      <c r="H18" s="6">
        <f t="shared" si="1"/>
        <v>-13.930000000000001</v>
      </c>
    </row>
    <row r="19" spans="1:8" x14ac:dyDescent="0.3">
      <c r="A19" s="4">
        <v>20632</v>
      </c>
      <c r="B19" s="4" t="s">
        <v>4</v>
      </c>
      <c r="C19" s="4">
        <v>1</v>
      </c>
      <c r="D19" s="5">
        <v>1.68</v>
      </c>
      <c r="E19" s="5">
        <v>1.57</v>
      </c>
      <c r="F19" s="5">
        <f t="shared" si="0"/>
        <v>3.25</v>
      </c>
      <c r="G19" s="7">
        <v>0.59</v>
      </c>
      <c r="H19" s="6">
        <f t="shared" si="1"/>
        <v>-0.98000000000000009</v>
      </c>
    </row>
    <row r="20" spans="1:8" x14ac:dyDescent="0.3">
      <c r="A20" s="4">
        <v>23967</v>
      </c>
      <c r="B20" s="4" t="s">
        <v>5</v>
      </c>
      <c r="C20" s="4">
        <v>12</v>
      </c>
      <c r="D20" s="5">
        <v>4.1399999999999997</v>
      </c>
      <c r="E20" s="5">
        <v>6.6</v>
      </c>
      <c r="F20" s="5">
        <f t="shared" si="0"/>
        <v>56.279999999999994</v>
      </c>
      <c r="G20" s="7">
        <v>0.49</v>
      </c>
      <c r="H20" s="6">
        <f t="shared" si="1"/>
        <v>-0.71999999999999975</v>
      </c>
    </row>
    <row r="21" spans="1:8" x14ac:dyDescent="0.3">
      <c r="A21" s="4">
        <v>23509</v>
      </c>
      <c r="B21" s="4" t="s">
        <v>4</v>
      </c>
      <c r="C21" s="4">
        <v>13</v>
      </c>
      <c r="D21" s="5">
        <v>34.99</v>
      </c>
      <c r="E21" s="5">
        <v>7.73</v>
      </c>
      <c r="F21" s="5">
        <f t="shared" si="0"/>
        <v>462.6</v>
      </c>
      <c r="G21" s="7">
        <v>0.59</v>
      </c>
      <c r="H21" s="6">
        <f t="shared" si="1"/>
        <v>-6.0000000000000497E-2</v>
      </c>
    </row>
    <row r="22" spans="1:8" x14ac:dyDescent="0.3">
      <c r="A22" s="4">
        <v>23612</v>
      </c>
      <c r="B22" s="4" t="s">
        <v>4</v>
      </c>
      <c r="C22" s="4">
        <v>2</v>
      </c>
      <c r="D22" s="5">
        <v>17.98</v>
      </c>
      <c r="E22" s="5">
        <v>8.51</v>
      </c>
      <c r="F22" s="5">
        <f t="shared" si="0"/>
        <v>44.47</v>
      </c>
      <c r="G22" s="7">
        <v>0.4</v>
      </c>
      <c r="H22" s="6">
        <f t="shared" si="1"/>
        <v>-7.71</v>
      </c>
    </row>
    <row r="23" spans="1:8" x14ac:dyDescent="0.3">
      <c r="A23" s="4">
        <v>23278</v>
      </c>
      <c r="B23" s="4" t="s">
        <v>7</v>
      </c>
      <c r="C23" s="4">
        <v>8</v>
      </c>
      <c r="D23" s="5">
        <v>125.99</v>
      </c>
      <c r="E23" s="5">
        <v>7.69</v>
      </c>
      <c r="F23" s="5">
        <f t="shared" si="0"/>
        <v>1015.61</v>
      </c>
      <c r="G23" s="7">
        <v>0.59</v>
      </c>
      <c r="H23" s="6">
        <f t="shared" si="1"/>
        <v>-2.9700000000000006</v>
      </c>
    </row>
    <row r="24" spans="1:8" x14ac:dyDescent="0.3">
      <c r="A24" s="4">
        <v>19355</v>
      </c>
      <c r="B24" s="4" t="s">
        <v>8</v>
      </c>
      <c r="C24" s="4">
        <v>22</v>
      </c>
      <c r="D24" s="5">
        <v>205.99</v>
      </c>
      <c r="E24" s="5">
        <v>8.99</v>
      </c>
      <c r="F24" s="5">
        <f t="shared" si="0"/>
        <v>4540.7700000000004</v>
      </c>
      <c r="G24" s="7">
        <v>0.56000000000000005</v>
      </c>
      <c r="H24" s="6">
        <f t="shared" si="1"/>
        <v>3.33</v>
      </c>
    </row>
    <row r="25" spans="1:8" x14ac:dyDescent="0.3">
      <c r="A25" s="4">
        <v>23654</v>
      </c>
      <c r="B25" s="4" t="s">
        <v>5</v>
      </c>
      <c r="C25" s="4">
        <v>13</v>
      </c>
      <c r="D25" s="5">
        <v>4.24</v>
      </c>
      <c r="E25" s="5">
        <v>5.41</v>
      </c>
      <c r="F25" s="5">
        <f t="shared" si="0"/>
        <v>60.53</v>
      </c>
      <c r="G25" s="7">
        <v>0.35</v>
      </c>
      <c r="H25" s="6">
        <f t="shared" si="1"/>
        <v>-0.86000000000000032</v>
      </c>
    </row>
    <row r="26" spans="1:8" x14ac:dyDescent="0.3">
      <c r="A26" s="4">
        <v>23655</v>
      </c>
      <c r="B26" s="4" t="s">
        <v>5</v>
      </c>
      <c r="C26" s="4">
        <v>18</v>
      </c>
      <c r="D26" s="5">
        <v>2.94</v>
      </c>
      <c r="E26" s="5">
        <v>0.7</v>
      </c>
      <c r="F26" s="5">
        <f t="shared" si="0"/>
        <v>53.620000000000005</v>
      </c>
      <c r="G26" s="7">
        <v>0.57999999999999996</v>
      </c>
      <c r="H26" s="6">
        <f t="shared" si="1"/>
        <v>9.74</v>
      </c>
    </row>
    <row r="27" spans="1:8" x14ac:dyDescent="0.3">
      <c r="A27" s="4">
        <v>25933</v>
      </c>
      <c r="B27" s="4" t="s">
        <v>4</v>
      </c>
      <c r="C27" s="4">
        <v>6</v>
      </c>
      <c r="D27" s="5">
        <v>99.99</v>
      </c>
      <c r="E27" s="5">
        <v>19.989999999999998</v>
      </c>
      <c r="F27" s="5">
        <f t="shared" si="0"/>
        <v>619.92999999999995</v>
      </c>
      <c r="G27" s="7">
        <v>0.52</v>
      </c>
      <c r="H27" s="6">
        <f t="shared" si="1"/>
        <v>-16.869999999999997</v>
      </c>
    </row>
    <row r="28" spans="1:8" x14ac:dyDescent="0.3">
      <c r="A28" s="4">
        <v>20697</v>
      </c>
      <c r="B28" s="4" t="s">
        <v>7</v>
      </c>
      <c r="C28" s="4">
        <v>6</v>
      </c>
      <c r="D28" s="5">
        <v>115.99</v>
      </c>
      <c r="E28" s="5">
        <v>2.5</v>
      </c>
      <c r="F28" s="5">
        <f t="shared" si="0"/>
        <v>698.43999999999994</v>
      </c>
      <c r="G28" s="7">
        <v>0.56999999999999995</v>
      </c>
      <c r="H28" s="6">
        <f t="shared" si="1"/>
        <v>0.91999999999999993</v>
      </c>
    </row>
    <row r="29" spans="1:8" x14ac:dyDescent="0.3">
      <c r="A29" s="4">
        <v>20698</v>
      </c>
      <c r="B29" s="4" t="s">
        <v>7</v>
      </c>
      <c r="C29" s="4">
        <v>1</v>
      </c>
      <c r="D29" s="5">
        <v>3502.14</v>
      </c>
      <c r="E29" s="5">
        <v>8.73</v>
      </c>
      <c r="F29" s="5">
        <f t="shared" si="0"/>
        <v>3510.87</v>
      </c>
      <c r="G29" s="7">
        <v>0.56999999999999995</v>
      </c>
      <c r="H29" s="6">
        <f t="shared" si="1"/>
        <v>-8.16</v>
      </c>
    </row>
    <row r="30" spans="1:8" x14ac:dyDescent="0.3">
      <c r="A30" s="4">
        <v>22890</v>
      </c>
      <c r="B30" s="4" t="s">
        <v>4</v>
      </c>
      <c r="C30" s="4">
        <v>17</v>
      </c>
      <c r="D30" s="5">
        <v>175.99</v>
      </c>
      <c r="E30" s="5">
        <v>5.79</v>
      </c>
      <c r="F30" s="5">
        <f t="shared" si="0"/>
        <v>2997.62</v>
      </c>
      <c r="G30" s="7">
        <v>0.36</v>
      </c>
      <c r="H30" s="6">
        <f t="shared" si="1"/>
        <v>0.33000000000000007</v>
      </c>
    </row>
    <row r="31" spans="1:8" x14ac:dyDescent="0.3">
      <c r="A31" s="4">
        <v>25354</v>
      </c>
      <c r="B31" s="4" t="s">
        <v>4</v>
      </c>
      <c r="C31" s="4">
        <v>20</v>
      </c>
      <c r="D31" s="5">
        <v>155.06</v>
      </c>
      <c r="E31" s="5">
        <v>1.49</v>
      </c>
      <c r="F31" s="5">
        <f t="shared" si="0"/>
        <v>3102.6899999999996</v>
      </c>
      <c r="G31" s="7">
        <v>0.38</v>
      </c>
      <c r="H31" s="6">
        <f t="shared" si="1"/>
        <v>6.1099999999999994</v>
      </c>
    </row>
    <row r="32" spans="1:8" x14ac:dyDescent="0.3">
      <c r="A32" s="4">
        <v>21017</v>
      </c>
      <c r="B32" s="4" t="s">
        <v>5</v>
      </c>
      <c r="C32" s="4">
        <v>17</v>
      </c>
      <c r="D32" s="5">
        <v>5.98</v>
      </c>
      <c r="E32" s="5">
        <v>0.7</v>
      </c>
      <c r="F32" s="5">
        <f t="shared" si="0"/>
        <v>102.36000000000001</v>
      </c>
      <c r="G32" s="7">
        <v>0.56000000000000005</v>
      </c>
      <c r="H32" s="6">
        <f t="shared" si="1"/>
        <v>8.8200000000000021</v>
      </c>
    </row>
    <row r="33" spans="1:8" x14ac:dyDescent="0.3">
      <c r="A33" s="4">
        <v>21019</v>
      </c>
      <c r="B33" s="4" t="s">
        <v>5</v>
      </c>
      <c r="C33" s="4">
        <v>3</v>
      </c>
      <c r="D33" s="5">
        <v>29.14</v>
      </c>
      <c r="E33" s="5">
        <v>5.15</v>
      </c>
      <c r="F33" s="5">
        <f t="shared" si="0"/>
        <v>92.570000000000007</v>
      </c>
      <c r="G33" s="7">
        <v>0.36</v>
      </c>
      <c r="H33" s="6">
        <f t="shared" si="1"/>
        <v>-4.07</v>
      </c>
    </row>
    <row r="34" spans="1:8" x14ac:dyDescent="0.3">
      <c r="A34" s="4">
        <v>23274</v>
      </c>
      <c r="B34" s="4" t="s">
        <v>8</v>
      </c>
      <c r="C34" s="4">
        <v>17</v>
      </c>
      <c r="D34" s="5">
        <v>3.69</v>
      </c>
      <c r="E34" s="5">
        <v>4.8600000000000003</v>
      </c>
      <c r="F34" s="5">
        <f t="shared" si="0"/>
        <v>67.59</v>
      </c>
      <c r="G34" s="7">
        <v>0.38</v>
      </c>
      <c r="H34" s="6">
        <f t="shared" si="1"/>
        <v>1.5999999999999996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B7DF6-A0C8-48F7-9CCE-F91241C44607}">
  <sheetPr codeName="Sheet4"/>
  <dimension ref="A1:Q23"/>
  <sheetViews>
    <sheetView showGridLines="0" topLeftCell="A3" workbookViewId="0">
      <selection activeCell="C2" sqref="C2"/>
    </sheetView>
  </sheetViews>
  <sheetFormatPr defaultRowHeight="14.4" x14ac:dyDescent="0.3"/>
  <cols>
    <col min="1" max="2" width="3.21875" customWidth="1"/>
    <col min="10" max="11" width="3.21875" customWidth="1"/>
  </cols>
  <sheetData>
    <row r="1" spans="1:17" hidden="1" x14ac:dyDescent="0.3">
      <c r="A1">
        <v>2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26</v>
      </c>
      <c r="H1" s="18" t="s">
        <v>25</v>
      </c>
    </row>
    <row r="2" spans="1:17" hidden="1" x14ac:dyDescent="0.3">
      <c r="D2" t="str">
        <f>IF(A1=1,"Male","Female")</f>
        <v>Female</v>
      </c>
    </row>
    <row r="3" spans="1:17" ht="15" thickBot="1" x14ac:dyDescent="0.35"/>
    <row r="4" spans="1:17" x14ac:dyDescent="0.3">
      <c r="C4" s="21" t="s">
        <v>19</v>
      </c>
      <c r="D4" s="22"/>
      <c r="E4" s="22"/>
      <c r="F4" s="22"/>
      <c r="G4" s="22"/>
      <c r="H4" s="22"/>
      <c r="I4" s="23"/>
    </row>
    <row r="5" spans="1:17" ht="15" thickBot="1" x14ac:dyDescent="0.35">
      <c r="C5" s="24"/>
      <c r="D5" s="25"/>
      <c r="E5" s="25"/>
      <c r="F5" s="25"/>
      <c r="G5" s="25"/>
      <c r="H5" s="25"/>
      <c r="I5" s="26"/>
    </row>
    <row r="6" spans="1:17" x14ac:dyDescent="0.3">
      <c r="C6" s="9"/>
      <c r="D6" s="10"/>
      <c r="E6" s="10"/>
      <c r="F6" s="10"/>
      <c r="G6" s="10"/>
      <c r="H6" s="10"/>
      <c r="I6" s="11"/>
      <c r="Q6" s="29" t="s">
        <v>27</v>
      </c>
    </row>
    <row r="7" spans="1:17" ht="15.6" x14ac:dyDescent="0.3">
      <c r="C7" s="19" t="s">
        <v>20</v>
      </c>
      <c r="D7" s="20"/>
      <c r="E7" s="12"/>
      <c r="F7" s="12"/>
      <c r="G7" s="12"/>
      <c r="H7" s="12"/>
      <c r="I7" s="13"/>
      <c r="Q7" s="29" t="s">
        <v>28</v>
      </c>
    </row>
    <row r="8" spans="1:17" x14ac:dyDescent="0.3">
      <c r="C8" s="14"/>
      <c r="D8" s="12"/>
      <c r="E8" s="12"/>
      <c r="F8" s="12"/>
      <c r="G8" s="12"/>
      <c r="H8" s="12"/>
      <c r="I8" s="13"/>
      <c r="Q8" s="29" t="s">
        <v>29</v>
      </c>
    </row>
    <row r="9" spans="1:17" ht="15.6" x14ac:dyDescent="0.3">
      <c r="C9" s="19" t="s">
        <v>21</v>
      </c>
      <c r="D9" s="20"/>
      <c r="E9" s="12"/>
      <c r="F9" s="12"/>
      <c r="G9" s="12"/>
      <c r="H9" s="12"/>
      <c r="I9" s="13"/>
      <c r="Q9" s="29" t="s">
        <v>30</v>
      </c>
    </row>
    <row r="10" spans="1:17" x14ac:dyDescent="0.3">
      <c r="C10" s="14"/>
      <c r="D10" s="12"/>
      <c r="E10" s="12"/>
      <c r="F10" s="12"/>
      <c r="G10" s="12"/>
      <c r="H10" s="12"/>
      <c r="I10" s="13"/>
      <c r="Q10" s="29" t="s">
        <v>31</v>
      </c>
    </row>
    <row r="11" spans="1:17" ht="15.6" x14ac:dyDescent="0.3">
      <c r="C11" s="19" t="s">
        <v>22</v>
      </c>
      <c r="D11" s="20"/>
      <c r="E11" s="12"/>
      <c r="F11" s="12"/>
      <c r="G11" s="12"/>
      <c r="H11" s="12"/>
      <c r="I11" s="13"/>
      <c r="Q11" s="29" t="s">
        <v>32</v>
      </c>
    </row>
    <row r="12" spans="1:17" x14ac:dyDescent="0.3">
      <c r="C12" s="14"/>
      <c r="D12" s="12"/>
      <c r="E12" s="12"/>
      <c r="F12" s="12"/>
      <c r="G12" s="12"/>
      <c r="H12" s="12"/>
      <c r="I12" s="13"/>
    </row>
    <row r="13" spans="1:17" ht="15.6" x14ac:dyDescent="0.3">
      <c r="C13" s="19" t="s">
        <v>23</v>
      </c>
      <c r="D13" s="20"/>
      <c r="E13" s="12"/>
      <c r="F13" s="12"/>
      <c r="G13" s="12"/>
      <c r="H13" s="12"/>
      <c r="I13" s="13"/>
    </row>
    <row r="14" spans="1:17" x14ac:dyDescent="0.3">
      <c r="C14" s="14"/>
      <c r="D14" s="12"/>
      <c r="E14" s="12"/>
      <c r="F14" s="12"/>
      <c r="G14" s="12"/>
      <c r="H14" s="12"/>
      <c r="I14" s="13"/>
    </row>
    <row r="15" spans="1:17" ht="15.6" x14ac:dyDescent="0.3">
      <c r="C15" s="19" t="s">
        <v>24</v>
      </c>
      <c r="D15" s="20"/>
      <c r="E15" s="12"/>
      <c r="F15" s="12"/>
      <c r="G15" s="12"/>
      <c r="H15" s="12"/>
      <c r="I15" s="13"/>
    </row>
    <row r="16" spans="1:17" x14ac:dyDescent="0.3">
      <c r="C16" s="14"/>
      <c r="D16" s="12"/>
      <c r="E16" s="12"/>
      <c r="F16" s="12"/>
      <c r="G16" s="12"/>
      <c r="H16" s="12"/>
      <c r="I16" s="13"/>
    </row>
    <row r="17" spans="3:9" ht="15.6" x14ac:dyDescent="0.3">
      <c r="C17" s="19" t="s">
        <v>25</v>
      </c>
      <c r="D17" s="20"/>
      <c r="E17" s="12"/>
      <c r="F17" s="12"/>
      <c r="G17" s="12"/>
      <c r="H17" s="12"/>
      <c r="I17" s="13"/>
    </row>
    <row r="18" spans="3:9" x14ac:dyDescent="0.3">
      <c r="C18" s="14"/>
      <c r="D18" s="12"/>
      <c r="E18" s="12"/>
      <c r="F18" s="12"/>
      <c r="G18" s="12"/>
      <c r="H18" s="12"/>
      <c r="I18" s="13"/>
    </row>
    <row r="19" spans="3:9" x14ac:dyDescent="0.3">
      <c r="C19" s="14"/>
      <c r="D19" s="12"/>
      <c r="E19" s="12"/>
      <c r="F19" s="12"/>
      <c r="G19" s="12"/>
      <c r="H19" s="12"/>
      <c r="I19" s="13"/>
    </row>
    <row r="20" spans="3:9" x14ac:dyDescent="0.3">
      <c r="C20" s="14"/>
      <c r="D20" s="12"/>
      <c r="E20" s="12"/>
      <c r="F20" s="12"/>
      <c r="G20" s="12"/>
      <c r="H20" s="12"/>
      <c r="I20" s="13"/>
    </row>
    <row r="21" spans="3:9" x14ac:dyDescent="0.3">
      <c r="C21" s="14"/>
      <c r="D21" s="12"/>
      <c r="E21" s="12"/>
      <c r="F21" s="12"/>
      <c r="G21" s="12"/>
      <c r="H21" s="12"/>
      <c r="I21" s="13"/>
    </row>
    <row r="22" spans="3:9" x14ac:dyDescent="0.3">
      <c r="C22" s="14"/>
      <c r="D22" s="12"/>
      <c r="E22" s="12"/>
      <c r="F22" s="12"/>
      <c r="G22" s="12"/>
      <c r="H22" s="12"/>
      <c r="I22" s="13"/>
    </row>
    <row r="23" spans="3:9" ht="15" thickBot="1" x14ac:dyDescent="0.35">
      <c r="C23" s="15"/>
      <c r="D23" s="16"/>
      <c r="E23" s="16"/>
      <c r="F23" s="16"/>
      <c r="G23" s="16"/>
      <c r="H23" s="16"/>
      <c r="I23" s="17"/>
    </row>
  </sheetData>
  <mergeCells count="7">
    <mergeCell ref="C17:D17"/>
    <mergeCell ref="C4:I5"/>
    <mergeCell ref="C7:D7"/>
    <mergeCell ref="C9:D9"/>
    <mergeCell ref="C11:D11"/>
    <mergeCell ref="C13:D13"/>
    <mergeCell ref="C15:D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extBox1">
          <controlPr defaultSize="0" autoLine="0" autoPict="0" linkedCell="C2" r:id="rId4">
            <anchor moveWithCells="1">
              <from>
                <xdr:col>3</xdr:col>
                <xdr:colOff>571500</xdr:colOff>
                <xdr:row>6</xdr:row>
                <xdr:rowOff>7620</xdr:rowOff>
              </from>
              <to>
                <xdr:col>8</xdr:col>
                <xdr:colOff>594360</xdr:colOff>
                <xdr:row>7</xdr:row>
                <xdr:rowOff>83820</xdr:rowOff>
              </to>
            </anchor>
          </controlPr>
        </control>
      </mc:Choice>
      <mc:Fallback>
        <control shapeId="4097" r:id="rId3" name="TextBox1"/>
      </mc:Fallback>
    </mc:AlternateContent>
    <mc:AlternateContent xmlns:mc="http://schemas.openxmlformats.org/markup-compatibility/2006">
      <mc:Choice Requires="x14">
        <control shapeId="4098" r:id="rId5" name="TextBox2">
          <controlPr defaultSize="0" autoLine="0" autoPict="0" linkedCell="F2" r:id="rId6">
            <anchor moveWithCells="1">
              <from>
                <xdr:col>3</xdr:col>
                <xdr:colOff>571500</xdr:colOff>
                <xdr:row>11</xdr:row>
                <xdr:rowOff>167640</xdr:rowOff>
              </from>
              <to>
                <xdr:col>8</xdr:col>
                <xdr:colOff>419100</xdr:colOff>
                <xdr:row>13</xdr:row>
                <xdr:rowOff>30480</xdr:rowOff>
              </to>
            </anchor>
          </controlPr>
        </control>
      </mc:Choice>
      <mc:Fallback>
        <control shapeId="4098" r:id="rId5" name="TextBox2"/>
      </mc:Fallback>
    </mc:AlternateContent>
    <mc:AlternateContent xmlns:mc="http://schemas.openxmlformats.org/markup-compatibility/2006">
      <mc:Choice Requires="x14">
        <control shapeId="4099" r:id="rId7" name="TextBox3">
          <controlPr defaultSize="0" autoLine="0" autoPict="0" linkedCell="G2" r:id="rId8">
            <anchor moveWithCells="1">
              <from>
                <xdr:col>3</xdr:col>
                <xdr:colOff>571500</xdr:colOff>
                <xdr:row>13</xdr:row>
                <xdr:rowOff>160020</xdr:rowOff>
              </from>
              <to>
                <xdr:col>8</xdr:col>
                <xdr:colOff>411480</xdr:colOff>
                <xdr:row>15</xdr:row>
                <xdr:rowOff>7620</xdr:rowOff>
              </to>
            </anchor>
          </controlPr>
        </control>
      </mc:Choice>
      <mc:Fallback>
        <control shapeId="4099" r:id="rId7" name="TextBox3"/>
      </mc:Fallback>
    </mc:AlternateContent>
    <mc:AlternateContent xmlns:mc="http://schemas.openxmlformats.org/markup-compatibility/2006">
      <mc:Choice Requires="x14">
        <control shapeId="4100" r:id="rId9" name="TextBox4">
          <controlPr defaultSize="0" autoLine="0" autoPict="0" linkedCell="H2" r:id="rId10">
            <anchor moveWithCells="1">
              <from>
                <xdr:col>3</xdr:col>
                <xdr:colOff>571500</xdr:colOff>
                <xdr:row>16</xdr:row>
                <xdr:rowOff>0</xdr:rowOff>
              </from>
              <to>
                <xdr:col>8</xdr:col>
                <xdr:colOff>426720</xdr:colOff>
                <xdr:row>17</xdr:row>
                <xdr:rowOff>38100</xdr:rowOff>
              </to>
            </anchor>
          </controlPr>
        </control>
      </mc:Choice>
      <mc:Fallback>
        <control shapeId="4100" r:id="rId9" name="TextBox4"/>
      </mc:Fallback>
    </mc:AlternateContent>
    <mc:AlternateContent xmlns:mc="http://schemas.openxmlformats.org/markup-compatibility/2006">
      <mc:Choice Requires="x14">
        <control shapeId="4101" r:id="rId11" name="ComboBox1">
          <controlPr defaultSize="0" autoLine="0" autoPict="0" linkedCell="E2" listFillRange="Q6:Q11" r:id="rId12">
            <anchor moveWithCells="1">
              <from>
                <xdr:col>3</xdr:col>
                <xdr:colOff>571500</xdr:colOff>
                <xdr:row>9</xdr:row>
                <xdr:rowOff>160020</xdr:rowOff>
              </from>
              <to>
                <xdr:col>8</xdr:col>
                <xdr:colOff>441960</xdr:colOff>
                <xdr:row>10</xdr:row>
                <xdr:rowOff>190500</xdr:rowOff>
              </to>
            </anchor>
          </controlPr>
        </control>
      </mc:Choice>
      <mc:Fallback>
        <control shapeId="4101" r:id="rId11" name="ComboBox1"/>
      </mc:Fallback>
    </mc:AlternateContent>
    <mc:AlternateContent xmlns:mc="http://schemas.openxmlformats.org/markup-compatibility/2006">
      <mc:Choice Requires="x14">
        <control shapeId="4102" r:id="rId13" name="Option Button 6">
          <controlPr defaultSize="0" autoFill="0" autoLine="0" autoPict="0">
            <anchor moveWithCells="1">
              <from>
                <xdr:col>4</xdr:col>
                <xdr:colOff>15240</xdr:colOff>
                <xdr:row>8</xdr:row>
                <xdr:rowOff>7620</xdr:rowOff>
              </from>
              <to>
                <xdr:col>5</xdr:col>
                <xdr:colOff>449580</xdr:colOff>
                <xdr:row>9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14" name="Option Button 7">
          <controlPr defaultSize="0" autoFill="0" autoLine="0" autoPict="0">
            <anchor moveWithCells="1">
              <from>
                <xdr:col>6</xdr:col>
                <xdr:colOff>144780</xdr:colOff>
                <xdr:row>8</xdr:row>
                <xdr:rowOff>7620</xdr:rowOff>
              </from>
              <to>
                <xdr:col>7</xdr:col>
                <xdr:colOff>579120</xdr:colOff>
                <xdr:row>9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15" name="Button 8">
          <controlPr defaultSize="0" print="0" autoFill="0" autoPict="0" macro="[0]!Macro1">
            <anchor moveWithCells="1" sizeWithCells="1">
              <from>
                <xdr:col>3</xdr:col>
                <xdr:colOff>594360</xdr:colOff>
                <xdr:row>18</xdr:row>
                <xdr:rowOff>129540</xdr:rowOff>
              </from>
              <to>
                <xdr:col>5</xdr:col>
                <xdr:colOff>563880</xdr:colOff>
                <xdr:row>20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5" r:id="rId16" name="Button 9">
          <controlPr defaultSize="0" print="0" autoFill="0" autoPict="0" macro="[0]!Macro2">
            <anchor moveWithCells="1" sizeWithCells="1">
              <from>
                <xdr:col>6</xdr:col>
                <xdr:colOff>121920</xdr:colOff>
                <xdr:row>18</xdr:row>
                <xdr:rowOff>129540</xdr:rowOff>
              </from>
              <to>
                <xdr:col>8</xdr:col>
                <xdr:colOff>91440</xdr:colOff>
                <xdr:row>20</xdr:row>
                <xdr:rowOff>106680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2DC8-78F9-4E5E-AC2F-263F51867E66}">
  <sheetPr codeName="Sheet5"/>
  <dimension ref="A1:F5"/>
  <sheetViews>
    <sheetView showGridLines="0" tabSelected="1" workbookViewId="0">
      <selection activeCell="H5" sqref="H5"/>
    </sheetView>
  </sheetViews>
  <sheetFormatPr defaultRowHeight="14.4" x14ac:dyDescent="0.3"/>
  <cols>
    <col min="1" max="1" width="20.44140625" customWidth="1"/>
    <col min="2" max="2" width="10.33203125" customWidth="1"/>
    <col min="3" max="3" width="15.77734375" customWidth="1"/>
    <col min="4" max="4" width="14.33203125" customWidth="1"/>
    <col min="5" max="5" width="15" customWidth="1"/>
    <col min="6" max="6" width="14" customWidth="1"/>
  </cols>
  <sheetData>
    <row r="1" spans="1:6" x14ac:dyDescent="0.3">
      <c r="A1" s="18" t="s">
        <v>20</v>
      </c>
      <c r="B1" s="18" t="s">
        <v>21</v>
      </c>
      <c r="C1" s="18" t="s">
        <v>22</v>
      </c>
      <c r="D1" s="18" t="s">
        <v>23</v>
      </c>
      <c r="E1" s="18" t="s">
        <v>26</v>
      </c>
      <c r="F1" s="18" t="s">
        <v>25</v>
      </c>
    </row>
    <row r="2" spans="1:6" x14ac:dyDescent="0.3">
      <c r="A2" s="28" t="s">
        <v>33</v>
      </c>
      <c r="B2" s="28" t="s">
        <v>37</v>
      </c>
      <c r="C2" s="28" t="s">
        <v>31</v>
      </c>
      <c r="D2" s="28" t="s">
        <v>34</v>
      </c>
      <c r="E2" s="28" t="s">
        <v>35</v>
      </c>
      <c r="F2" s="28" t="s">
        <v>36</v>
      </c>
    </row>
    <row r="3" spans="1:6" x14ac:dyDescent="0.3">
      <c r="A3" s="28" t="s">
        <v>38</v>
      </c>
      <c r="B3" s="28" t="s">
        <v>40</v>
      </c>
      <c r="C3" s="28" t="s">
        <v>30</v>
      </c>
      <c r="D3" s="28" t="s">
        <v>39</v>
      </c>
      <c r="E3" s="28" t="s">
        <v>35</v>
      </c>
      <c r="F3" s="28" t="s">
        <v>36</v>
      </c>
    </row>
    <row r="4" spans="1:6" x14ac:dyDescent="0.3">
      <c r="A4" s="28" t="s">
        <v>41</v>
      </c>
      <c r="B4" s="28" t="s">
        <v>40</v>
      </c>
      <c r="C4" s="28" t="s">
        <v>29</v>
      </c>
      <c r="D4" s="28" t="s">
        <v>34</v>
      </c>
      <c r="E4" s="28" t="s">
        <v>35</v>
      </c>
      <c r="F4" s="28" t="s">
        <v>36</v>
      </c>
    </row>
    <row r="5" spans="1:6" x14ac:dyDescent="0.3">
      <c r="A5" s="27" t="s">
        <v>42</v>
      </c>
      <c r="B5" s="27" t="s">
        <v>40</v>
      </c>
      <c r="C5" s="27" t="s">
        <v>32</v>
      </c>
      <c r="D5" s="27" t="s">
        <v>34</v>
      </c>
      <c r="E5" s="27" t="s">
        <v>35</v>
      </c>
      <c r="F5" s="27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Formatting</vt:lpstr>
      <vt:lpstr>Sheet1</vt:lpstr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Shubham Chavan</cp:lastModifiedBy>
  <dcterms:created xsi:type="dcterms:W3CDTF">2015-06-05T18:17:20Z</dcterms:created>
  <dcterms:modified xsi:type="dcterms:W3CDTF">2023-03-02T08:07:15Z</dcterms:modified>
</cp:coreProperties>
</file>